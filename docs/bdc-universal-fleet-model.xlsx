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Fleet Scenarios" sheetId="3" state="visible" r:id="rId5"/>
    <sheet name="Unit Economics" sheetId="4" state="visible" r:id="rId6"/>
    <sheet name="Loan Payments" sheetId="5" state="visible" r:id="rId7"/>
    <sheet name="12-Month Cash Flow" sheetId="6" state="visible" r:id="rId8"/>
    <sheet name="Break-Even" sheetId="7" state="visible" r:id="rId9"/>
    <sheet name="Charging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<sst xmlns="http://schemas.openxmlformats.org/spreadsheetml/2006/main" count="335" uniqueCount="313">
  <si>
    <t xml:space="preserve">BDC UNIVERSAL</t>
  </si>
  <si>
    <t xml:space="preserve">Fleet Financial Model</t>
  </si>
  <si>
    <t xml:space="preserve">Purchase-only Tesla-first Turo fleet, LA market</t>
  </si>
  <si>
    <t xml:space="preserve">Prepared for</t>
  </si>
  <si>
    <t xml:space="preserve">Eli Cooper · BDC Universal</t>
  </si>
  <si>
    <t xml:space="preserve">Operator</t>
  </si>
  <si>
    <t xml:space="preserve">Jared Best · Bestly LLC</t>
  </si>
  <si>
    <t xml:space="preserve">Date</t>
  </si>
  <si>
    <t xml:space="preserve">May 4, 2026</t>
  </si>
  <si>
    <t xml:space="preserve">Source documents</t>
  </si>
  <si>
    <t xml:space="preserve">EV_Fleet_Strategy_Turo.xlsx (Mar 2026) + EV_Fleet_Sourcing_Strategy.pdf (Apr 2026)</t>
  </si>
  <si>
    <t xml:space="preserve">Capital model</t>
  </si>
  <si>
    <t xml:space="preserve">Purchase only — financed at 20% down, 48-month term. NO leasing.</t>
  </si>
  <si>
    <t xml:space="preserve">What this model answers</t>
  </si>
  <si>
    <t xml:space="preserve">1.  How much capital do we need at 4, 6, 8, and 10 vehicles?</t>
  </si>
  <si>
    <t xml:space="preserve">2.  What does the monthly loan payment look like across realistic APRs (6.5% / 9.0% / 11.0%)?</t>
  </si>
  <si>
    <t xml:space="preserve">3.  What does per-vehicle profit look like at conservative / target / optimistic utilization?</t>
  </si>
  <si>
    <t xml:space="preserve">4.  At what fleet size does the operation cover loan payments and reach break-even?</t>
  </si>
  <si>
    <t xml:space="preserve">5.  What's the working-capital buffer needed to weather the first 6 months?</t>
  </si>
  <si>
    <t xml:space="preserve">6.  How does charging-cost mix (Supercharger vs LADWP home) affect margin?</t>
  </si>
  <si>
    <t xml:space="preserve">Sheets</t>
  </si>
  <si>
    <t xml:space="preserve">Inputs</t>
  </si>
  <si>
    <t xml:space="preserve">All assumptions (blue cells = your inputs). Change these, all sheets update.</t>
  </si>
  <si>
    <t xml:space="preserve">Fleet Scenarios</t>
  </si>
  <si>
    <t xml:space="preserve">Side-by-side 4 vs 6 vs 8 vs 10 vehicle comparison. THE EXEC SHEET.</t>
  </si>
  <si>
    <t xml:space="preserve">Unit Economics</t>
  </si>
  <si>
    <t xml:space="preserve">Per-vehicle revenue, cost, margin under conservative/target/optimistic.</t>
  </si>
  <si>
    <t xml:space="preserve">Loan Payments</t>
  </si>
  <si>
    <t xml:space="preserve">Monthly P&amp;I across purchase price × APR sensitivity grid.</t>
  </si>
  <si>
    <t xml:space="preserve">12-Month Cash Flow</t>
  </si>
  <si>
    <t xml:space="preserve">Month-by-month projection for the chosen scenario.</t>
  </si>
  <si>
    <t xml:space="preserve">Break-Even</t>
  </si>
  <si>
    <t xml:space="preserve">What it takes to cover loan + opex per vehicle.</t>
  </si>
  <si>
    <t xml:space="preserve">Charging</t>
  </si>
  <si>
    <t xml:space="preserve">Supercharger vs LADWP cost optimization.</t>
  </si>
  <si>
    <t xml:space="preserve">Sources</t>
  </si>
  <si>
    <t xml:space="preserve">Citations for every market-data figure.</t>
  </si>
  <si>
    <t xml:space="preserve">Color coding</t>
  </si>
  <si>
    <t xml:space="preserve">Blue text</t>
  </si>
  <si>
    <t xml:space="preserve">Hardcoded inputs / scenario knobs — edit these</t>
  </si>
  <si>
    <t xml:space="preserve">Black text</t>
  </si>
  <si>
    <t xml:space="preserve">Formulas / calculated</t>
  </si>
  <si>
    <t xml:space="preserve">Green text</t>
  </si>
  <si>
    <t xml:space="preserve">Cross-sheet references</t>
  </si>
  <si>
    <t xml:space="preserve">Yellow background = key assumption flagged for review</t>
  </si>
  <si>
    <t xml:space="preserve">INPUTS &amp; ASSUMPTIONS</t>
  </si>
  <si>
    <t xml:space="preserve">Edit the blue cells. Yellow = key assumption — review carefully.</t>
  </si>
  <si>
    <t xml:space="preserve">Vehicle Acquisition (Used Tesla Model Y LR, LA market)</t>
  </si>
  <si>
    <t xml:space="preserve">Tier</t>
  </si>
  <si>
    <t xml:space="preserve">Description</t>
  </si>
  <si>
    <t xml:space="preserve">Price ($)</t>
  </si>
  <si>
    <t xml:space="preserve">Notes</t>
  </si>
  <si>
    <t xml:space="preserve">Tier 1 — w/ legacy FSD</t>
  </si>
  <si>
    <t xml:space="preserve">Used 2022-2023 Model Y LR with FSD purchased outright</t>
  </si>
  <si>
    <t xml:space="preserve">Premium $3-5k over base. Avoids $99/mo subscription forever.</t>
  </si>
  <si>
    <t xml:space="preserve">Tier 2 — w/ EAP</t>
  </si>
  <si>
    <t xml:space="preserve">Used 2022-2023 Model Y LR with Enhanced Autopilot</t>
  </si>
  <si>
    <t xml:space="preserve">Qualifies for $49/mo FSD sub (half rate).</t>
  </si>
  <si>
    <t xml:space="preserve">Tier 3 — base (fallback)</t>
  </si>
  <si>
    <t xml:space="preserve">Used 2022-2023 Model Y LR, base Autopilot only</t>
  </si>
  <si>
    <t xml:space="preserve">Tracks LA market average.</t>
  </si>
  <si>
    <t xml:space="preserve">Target acquisition mix</t>
  </si>
  <si>
    <t xml:space="preserve">50% Tier 2 (EAP) + 50% Tier 3 (base) — see Fleet Scenarios for unit-by-unit</t>
  </si>
  <si>
    <t xml:space="preserve">Blended price per vehicle</t>
  </si>
  <si>
    <t xml:space="preserve">(used downstream as default)</t>
  </si>
  <si>
    <t xml:space="preserve">Financing (purchase only — no leasing)</t>
  </si>
  <si>
    <t xml:space="preserve">Parameter</t>
  </si>
  <si>
    <t xml:space="preserve">Value</t>
  </si>
  <si>
    <t xml:space="preserve">Down payment %</t>
  </si>
  <si>
    <t xml:space="preserve">20% standard. Higher reduces P&amp;I but ties up capital.</t>
  </si>
  <si>
    <t xml:space="preserve">Loan term (months)</t>
  </si>
  <si>
    <t xml:space="preserve">48-month preferred for cash-flow; 60-mo possible at higher total interest.</t>
  </si>
  <si>
    <t xml:space="preserve">APR — excellent credit (720+)</t>
  </si>
  <si>
    <t xml:space="preserve">Bankrate / NerdWallet, March 2026.</t>
  </si>
  <si>
    <t xml:space="preserve">APR — good credit (690-719)</t>
  </si>
  <si>
    <t xml:space="preserve">APR — fair credit (660-689)</t>
  </si>
  <si>
    <t xml:space="preserve">APR — base case (used in model)</t>
  </si>
  <si>
    <t xml:space="preserve">Yellow = key assumption.</t>
  </si>
  <si>
    <t xml:space="preserve">Revenue Assumptions (Turo, LA market)</t>
  </si>
  <si>
    <t xml:space="preserve">Scenario</t>
  </si>
  <si>
    <t xml:space="preserve">Daily Rate ($)</t>
  </si>
  <si>
    <t xml:space="preserve">Utilization (%)</t>
  </si>
  <si>
    <t xml:space="preserve">Conservative</t>
  </si>
  <si>
    <t xml:space="preserve">Low end of LA Model Y range ($61-94/day).</t>
  </si>
  <si>
    <t xml:space="preserve">Target</t>
  </si>
  <si>
    <t xml:space="preserve">Median LA Model Y, Superhost-listed.</t>
  </si>
  <si>
    <t xml:space="preserve">Optimistic</t>
  </si>
  <si>
    <t xml:space="preserve">Premium pricing, peak season, top reviews.</t>
  </si>
  <si>
    <t xml:space="preserve">Turo host fee</t>
  </si>
  <si>
    <t xml:space="preserve">10% take rate (operator's power-host / direct rate). Standard Turo plans run 15-25%.</t>
  </si>
  <si>
    <t xml:space="preserve">Per-Vehicle Monthly Operating Costs</t>
  </si>
  <si>
    <t xml:space="preserve">Cost</t>
  </si>
  <si>
    <t xml:space="preserve">Monthly ($)</t>
  </si>
  <si>
    <t xml:space="preserve">Insurance (commercial auto)</t>
  </si>
  <si>
    <t xml:space="preserve">Required for Turo commercial use. $150-200 range.</t>
  </si>
  <si>
    <t xml:space="preserve">Charging (electricity, blended)</t>
  </si>
  <si>
    <t xml:space="preserve">Observed $0.44-0.47/kWh blended. Optimize via home L2 — see Charging sheet.</t>
  </si>
  <si>
    <t xml:space="preserve">Cleaning / detailing (per turnover)</t>
  </si>
  <si>
    <t xml:space="preserve">$25-30/turnover × 8-12 turnovers. Outsource at 4+ vehicles.</t>
  </si>
  <si>
    <t xml:space="preserve">Car wash membership</t>
  </si>
  <si>
    <t xml:space="preserve">Base unlimited-wash membership per vehicle (operator's preferred wash chain).</t>
  </si>
  <si>
    <t xml:space="preserve">Maintenance / tires reserve</t>
  </si>
  <si>
    <t xml:space="preserve">Tires every 25-30k mi. Annual brake/A/C check.</t>
  </si>
  <si>
    <t xml:space="preserve">Phone mount / consumables</t>
  </si>
  <si>
    <t xml:space="preserve">Cables, cleaning supplies, no-smoking stickers (~$0.75 ea × 2/vehicle), accessories.</t>
  </si>
  <si>
    <t xml:space="preserve">Depreciation reserve</t>
  </si>
  <si>
    <t xml:space="preserve">Set aside ~$2,700/yr for replacement fund.</t>
  </si>
  <si>
    <t xml:space="preserve">TOTAL operating cost (excl. loan)</t>
  </si>
  <si>
    <t xml:space="preserve">Other</t>
  </si>
  <si>
    <t xml:space="preserve">FSD subscription per vehicle ($/mo)</t>
  </si>
  <si>
    <t xml:space="preserve">Set to 0 today; activate only when robotaxi owner-program goes live in LA. Tier 2 EAP = $49/mo when activated.</t>
  </si>
  <si>
    <t xml:space="preserve">Working capital reserve (months per vehicle)</t>
  </si>
  <si>
    <t xml:space="preserve">3-month buffer. Keeps operation alive through soft season. Per-PDF recommendation.</t>
  </si>
  <si>
    <t xml:space="preserve">Existing fleet vehicles (already owned, no loan)</t>
  </si>
  <si>
    <t xml:space="preserve">NOMAD (Model Y 2021) + Blue Steel (Model 3 2020). Both owned outright.</t>
  </si>
  <si>
    <t xml:space="preserve">FLEET SCENARIOS — 4 vs 6 vs 8 vs 10 vehicles</t>
  </si>
  <si>
    <t xml:space="preserve">All numbers monthly unless noted. Excl. existing 2 owned vehicles' contribution.</t>
  </si>
  <si>
    <t xml:space="preserve">Metric</t>
  </si>
  <si>
    <t xml:space="preserve">4 vehicles</t>
  </si>
  <si>
    <t xml:space="preserve">6 vehicles</t>
  </si>
  <si>
    <t xml:space="preserve">8 vehicles</t>
  </si>
  <si>
    <t xml:space="preserve">10 vehicles</t>
  </si>
  <si>
    <t xml:space="preserve">(adds to existing 2 owned)</t>
  </si>
  <si>
    <t xml:space="preserve">+2 new financed</t>
  </si>
  <si>
    <t xml:space="preserve">+4 new financed</t>
  </si>
  <si>
    <t xml:space="preserve">+6 new financed</t>
  </si>
  <si>
    <t xml:space="preserve">+8 new financed</t>
  </si>
  <si>
    <t xml:space="preserve">CAPITAL REQUIRED (one-time)</t>
  </si>
  <si>
    <t xml:space="preserve">Vehicles to acquire</t>
  </si>
  <si>
    <t xml:space="preserve">Price per vehicle (blended Tier 2/3)</t>
  </si>
  <si>
    <t xml:space="preserve">Total acquisition price</t>
  </si>
  <si>
    <t xml:space="preserve">Down payment (20%)</t>
  </si>
  <si>
    <t xml:space="preserve">Setup costs ($1,500/vehicle: ceramic + accessories + photos + insurance start)</t>
  </si>
  <si>
    <t xml:space="preserve">Working capital reserve (3 mo × all vehicles)</t>
  </si>
  <si>
    <t xml:space="preserve">TOTAL CASH NEEDED AT LAUNCH</t>
  </si>
  <si>
    <t xml:space="preserve">MONTHLY FINANCING</t>
  </si>
  <si>
    <t xml:space="preserve">Loan principal per vehicle (price × 80%)</t>
  </si>
  <si>
    <t xml:space="preserve">Monthly P&amp;I per vehicle (PMT @ base APR, 48mo)</t>
  </si>
  <si>
    <t xml:space="preserve">Total monthly loan payment (× new vehicles)</t>
  </si>
  <si>
    <t xml:space="preserve">MONTHLY REVENUE (Target case)</t>
  </si>
  <si>
    <t xml:space="preserve">Net revenue per vehicle (after Turo 25% fee)</t>
  </si>
  <si>
    <t xml:space="preserve">Fleet net revenue (all vehicles)</t>
  </si>
  <si>
    <t xml:space="preserve">MONTHLY OPEX</t>
  </si>
  <si>
    <t xml:space="preserve">Operating cost per vehicle (Inputs!B39)</t>
  </si>
  <si>
    <t xml:space="preserve">Fleet opex (all vehicles)</t>
  </si>
  <si>
    <t xml:space="preserve">MONTHLY NET (Target case)</t>
  </si>
  <si>
    <t xml:space="preserve">Net revenue (line 23)</t>
  </si>
  <si>
    <t xml:space="preserve">Less: opex (line 27)</t>
  </si>
  <si>
    <t xml:space="preserve">Less: loan payment (line 19)</t>
  </si>
  <si>
    <t xml:space="preserve">MONTHLY NET PROFIT</t>
  </si>
  <si>
    <t xml:space="preserve">Annualized net (× 12)</t>
  </si>
  <si>
    <t xml:space="preserve">SENSITIVITY (alt scenarios)</t>
  </si>
  <si>
    <t xml:space="preserve">Net at CONSERVATIVE utilization</t>
  </si>
  <si>
    <t xml:space="preserve">Net at OPTIMISTIC utilization</t>
  </si>
  <si>
    <t xml:space="preserve">Eli's break-even target</t>
  </si>
  <si>
    <t xml:space="preserve">Month 4-5-6 from launch (per call discussion)</t>
  </si>
  <si>
    <t xml:space="preserve">Working capital buffer concern</t>
  </si>
  <si>
    <t xml:space="preserve">$200k cushion for first 6 months — line 13 above shows actual reserve at each scenario</t>
  </si>
  <si>
    <t xml:space="preserve">PER-VEHICLE UNIT ECONOMICS</t>
  </si>
  <si>
    <t xml:space="preserve">Single financed vehicle, 48-mo loan @ base APR, blended Tier 2/3 price.</t>
  </si>
  <si>
    <t xml:space="preserve">Line item</t>
  </si>
  <si>
    <t xml:space="preserve">Daily rate</t>
  </si>
  <si>
    <t xml:space="preserve">Utilization</t>
  </si>
  <si>
    <t xml:space="preserve">Days booked / month (= util × 30)</t>
  </si>
  <si>
    <t xml:space="preserve">Gross trip revenue</t>
  </si>
  <si>
    <t xml:space="preserve">Less: Turo 25% host fee</t>
  </si>
  <si>
    <t xml:space="preserve">NET BOOKING REVENUE</t>
  </si>
  <si>
    <t xml:space="preserve">COSTS (per vehicle, monthly)</t>
  </si>
  <si>
    <t xml:space="preserve">Insurance</t>
  </si>
  <si>
    <t xml:space="preserve">Cleaning</t>
  </si>
  <si>
    <t xml:space="preserve">Maintenance</t>
  </si>
  <si>
    <t xml:space="preserve">Phone / consumables (incl. no-smoking stickers)</t>
  </si>
  <si>
    <t xml:space="preserve">Loan P&amp;I (financed @ base APR, 48-mo)</t>
  </si>
  <si>
    <t xml:space="preserve">TOTAL COSTS (incl. loan)</t>
  </si>
  <si>
    <t xml:space="preserve">NET MARGIN $</t>
  </si>
  <si>
    <t xml:space="preserve">NET MARGIN %</t>
  </si>
  <si>
    <t xml:space="preserve">OWNED-VEHICLE COMPARISON (no loan — NOMAD/Blue Steel)</t>
  </si>
  <si>
    <t xml:space="preserve">Net revenue (same as line 10)</t>
  </si>
  <si>
    <t xml:space="preserve">Costs ex-loan</t>
  </si>
  <si>
    <t xml:space="preserve">OWNED NET MARGIN $</t>
  </si>
  <si>
    <t xml:space="preserve">OWNED NET MARGIN %</t>
  </si>
  <si>
    <t xml:space="preserve">HARD TRUTH</t>
  </si>
  <si>
    <t xml:space="preserve">At target utilization a newly financed vehicle's margin depends heavily on Turo take rate.</t>
  </si>
  <si>
    <t xml:space="preserve">At your 10% rate, daily rate × utilization break-even is much lower than the 25% case.</t>
  </si>
  <si>
    <t xml:space="preserve">Levers: daily rate, utilization, charging mix (every 10% home-shift saves ~$35/vehicle/mo), loan payoff.</t>
  </si>
  <si>
    <t xml:space="preserve">The existing 2 owned vehicles ARE profitable — see line 29 — and subsidize newly added units.</t>
  </si>
  <si>
    <t xml:space="preserve">LOAN PAYMENT SENSITIVITY</t>
  </si>
  <si>
    <t xml:space="preserve">Monthly P&amp;I across purchase price × APR. 20% down, 48-month term.</t>
  </si>
  <si>
    <t xml:space="preserve">Purchase price</t>
  </si>
  <si>
    <t xml:space="preserve">6.00%</t>
  </si>
  <si>
    <t xml:space="preserve">6.50%</t>
  </si>
  <si>
    <t xml:space="preserve">7.50%</t>
  </si>
  <si>
    <t xml:space="preserve">9.00%</t>
  </si>
  <si>
    <t xml:space="preserve">10.50%</t>
  </si>
  <si>
    <t xml:space="preserve">11.00%</t>
  </si>
  <si>
    <t xml:space="preserve">Down payment (20% of price column)</t>
  </si>
  <si>
    <t xml:space="preserve">Reading the table</t>
  </si>
  <si>
    <t xml:space="preserve">Eli's call discussion: monthly loan payment 'could be $8000, $9000, $10,000 or $13,000'.</t>
  </si>
  <si>
    <t xml:space="preserve">At 6 vehicles × $35K used Tesla @ 9% APR (cell E8), per-vehicle is ~$700 → fleet total ~$4,200/mo.</t>
  </si>
  <si>
    <t xml:space="preserve">At 10 vehicles × $35K @ 9% APR, fleet total is 10 × that = ~$7,000/mo (fewer than Eli's high-end estimate, well within range).</t>
  </si>
  <si>
    <t xml:space="preserve">Eli's $13K/mo number lands if buying mix of new 2026 Model Y Premium ($48,990) at 11% APR — see G11 ($1,229/mo × 10 = $12,290/mo).</t>
  </si>
  <si>
    <t xml:space="preserve">12-MONTH CASH FLOW PROJECTION</t>
  </si>
  <si>
    <t xml:space="preserve">Pick your scenario in B4 below. All months computed from Inputs.</t>
  </si>
  <si>
    <t xml:space="preserve">← number of vehicles (try 4, 6, 8, 10)</t>
  </si>
  <si>
    <t xml:space="preserve">New financed vehicles</t>
  </si>
  <si>
    <t xml:space="preserve">Month →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</si>
  <si>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</si>
  <si>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</si>
  <si>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</si>
  <si>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</si>
  <si>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</si>
  <si>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</si>
  <si>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</si>
  <si>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</si>
  <si>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</si>
  <si>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</si>
  <si>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</si>
  <si>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</si>
  <si>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Total</t>
  </si>
  <si>
    <t xml:space="preserve">Utilization ramp</t>
  </si>
  <si>
    <t xml:space="preserve">Daily rate (target)</t>
  </si>
  <si>
    <t xml:space="preserve">Net revenue per vehicle</t>
  </si>
  <si>
    <t xml:space="preserve">Fleet net revenue</t>
  </si>
  <si>
    <t xml:space="preserve">Fleet opex</t>
  </si>
  <si>
    <t xml:space="preserve">Fleet loan payment</t>
  </si>
  <si>
    <t xml:space="preserve">MONTHLY NET</t>
  </si>
  <si>
    <t xml:space="preserve">CUMULATIVE NET</t>
  </si>
  <si>
    <t xml:space="preserve">Break-even month (cumulative net flips positive)</t>
  </si>
  <si>
    <t xml:space="preserve">Note: this projection excludes the existing 2 owned vehicles' contribution (~$1,000/mo each at target).</t>
  </si>
  <si>
    <t xml:space="preserve">Add ~$24,000 to the 12-month total to include them.</t>
  </si>
  <si>
    <t xml:space="preserve">BREAK-EVEN ANALYSIS</t>
  </si>
  <si>
    <t xml:space="preserve">Daily rate × utilization required to cover loan + opex per financed vehicle.</t>
  </si>
  <si>
    <t xml:space="preserve">Total monthly cost per financed vehicle (loan + opex)</t>
  </si>
  <si>
    <t xml:space="preserve">Required NET monthly revenue</t>
  </si>
  <si>
    <t xml:space="preserve">Required GROSS revenue (before Turo 25%)</t>
  </si>
  <si>
    <t xml:space="preserve">NET MONTHLY PROFIT BY DAILY RATE × UTILIZATION (financed vehicle)</t>
  </si>
  <si>
    <t xml:space="preserve">Daily rate ↓ / Util →</t>
  </si>
  <si>
    <t xml:space="preserve">Green cells = positive monthly profit. The financed vehicle is in the green at $90+/day and 80%+ utilization.</t>
  </si>
  <si>
    <t xml:space="preserve">LA peak season (Jun-Sep) routinely supports those levels for Superhost-listed Model Y. Off-season tightens.</t>
  </si>
  <si>
    <t xml:space="preserve">The two existing OWNED vehicles run profitable across nearly all cells — see Unit Economics line 28.</t>
  </si>
  <si>
    <t xml:space="preserve">CHARGING COST OPTIMIZATION</t>
  </si>
  <si>
    <t xml:space="preserve">Every 10% shift from Supercharger to home L2 saves ~$35/vehicle/mo.</t>
  </si>
  <si>
    <t xml:space="preserve">Source</t>
  </si>
  <si>
    <t xml:space="preserve">Rate ($/kWh)</t>
  </si>
  <si>
    <t xml:space="preserve">LADWP residential (LA)</t>
  </si>
  <si>
    <t xml:space="preserve">2026 residential schedule. Best rate.</t>
  </si>
  <si>
    <t xml:space="preserve">Tesla Supercharger LA off-peak (12-8 AM)</t>
  </si>
  <si>
    <t xml:space="preserve">Industrial St, LA</t>
  </si>
  <si>
    <t xml:space="preserve">Tesla Supercharger LA standard</t>
  </si>
  <si>
    <t xml:space="preserve">Venice Blvd, LA — owner rate</t>
  </si>
  <si>
    <t xml:space="preserve">Tesla Supercharger LA peak</t>
  </si>
  <si>
    <t xml:space="preserve">Industrial St, LA peak</t>
  </si>
  <si>
    <t xml:space="preserve">Non-Tesla EV at Supercharger</t>
  </si>
  <si>
    <t xml:space="preserve">Higher rate for non-Tesla via NACS.</t>
  </si>
  <si>
    <t xml:space="preserve">Monthly cost based on mix (per vehicle)</t>
  </si>
  <si>
    <t xml:space="preserve">Monthly kWh consumed per vehicle (current pace)</t>
  </si>
  <si>
    <t xml:space="preserve">(NOMAD + Blue Steel avg ~810 kWh/mo per PDF data)</t>
  </si>
  <si>
    <t xml:space="preserve">Mix (% home-charged)</t>
  </si>
  <si>
    <t xml:space="preserve">← change this; rest of column auto-updates</t>
  </si>
  <si>
    <t xml:space="preserve">% Supercharged</t>
  </si>
  <si>
    <t xml:space="preserve">Home charging cost (LADWP)</t>
  </si>
  <si>
    <t xml:space="preserve">Supercharger cost (LA standard rate)</t>
  </si>
  <si>
    <t xml:space="preserve">TOTAL monthly charging cost per vehicle</t>
  </si>
  <si>
    <t xml:space="preserve">Compared to current (Inputs!B33)</t>
  </si>
  <si>
    <t xml:space="preserve">← positive = SAVINGS vs. current blended rate</t>
  </si>
  <si>
    <t xml:space="preserve">MIX SENSITIVITY (per vehicle)</t>
  </si>
  <si>
    <t xml:space="preserve">% home-charged</t>
  </si>
  <si>
    <t xml:space="preserve">Monthly cost</t>
  </si>
  <si>
    <t xml:space="preserve">Savings vs current</t>
  </si>
  <si>
    <t xml:space="preserve">Annual savings</t>
  </si>
  <si>
    <t xml:space="preserve">L2 charger ROI</t>
  </si>
  <si>
    <t xml:space="preserve">Second L2 EVSE install cost: ~$1,000-1,500</t>
  </si>
  <si>
    <t xml:space="preserve">At 50% home mix savings (row 32): ~$80/vehicle/mo × 4 vehicles = $320/mo savings = ~5-month payback</t>
  </si>
  <si>
    <t xml:space="preserve">MARKET DATA SOURCES</t>
  </si>
  <si>
    <t xml:space="preserve">All non-derived numbers in this model are sourced from these documents and public references.</t>
  </si>
  <si>
    <t xml:space="preserve">Topic</t>
  </si>
  <si>
    <t xml:space="preserve">Source(s)</t>
  </si>
  <si>
    <t xml:space="preserve">Used 2022-2023 Model Y LR prices — LA market</t>
  </si>
  <si>
    <t xml:space="preserve">Edmunds, CarGurus, Cars.com, Carvana, CARFAX, TrueCar</t>
  </si>
  <si>
    <t xml:space="preserve">April 2026</t>
  </si>
  <si>
    <t xml:space="preserve">New 2026 Model Y MSRP</t>
  </si>
  <si>
    <t xml:space="preserve">Tesla.com configurator; KBB; Edmunds</t>
  </si>
  <si>
    <t xml:space="preserve">Auto loan rates (used + new)</t>
  </si>
  <si>
    <t xml:space="preserve">Edmunds (Mar 2026), Cox Automotive (Feb 2026), Bankrate, NerdWallet</t>
  </si>
  <si>
    <t xml:space="preserve">Feb-Mar 2026</t>
  </si>
  <si>
    <t xml:space="preserve">Tesla FSD subscription pricing</t>
  </si>
  <si>
    <t xml:space="preserve">Tesla Support; InsideEVs; NotATeslaApp; Teslarati</t>
  </si>
  <si>
    <t xml:space="preserve">Tesla battery warranty (Model Y LR 8yr/120K mi)</t>
  </si>
  <si>
    <t xml:space="preserve">Tesla Vehicle Warranty; Recharged 2026 guide</t>
  </si>
  <si>
    <t xml:space="preserve">2026</t>
  </si>
  <si>
    <t xml:space="preserve">LADWP residential rates ($0.225/kWh)</t>
  </si>
  <si>
    <t xml:space="preserve">LADWP; Office of Public Accountability</t>
  </si>
  <si>
    <t xml:space="preserve">Tesla Supercharger LA rates ($0.34-0.63/kWh)</t>
  </si>
  <si>
    <t xml:space="preserve">Tesla.com (Industrial St, Venice Blvd LA sites)</t>
  </si>
  <si>
    <t xml:space="preserve">Turo LA Model Y daily rates ($61-94)</t>
  </si>
  <si>
    <t xml:space="preserve">Turo public listings (West Hollywood, Burbank, Van Nuys)</t>
  </si>
  <si>
    <t xml:space="preserve">Robotaxi deployment status</t>
  </si>
  <si>
    <t xml:space="preserve">Tesla investor communications; CNBC; InsideEVs</t>
  </si>
  <si>
    <t xml:space="preserve">Q1 2026</t>
  </si>
  <si>
    <t xml:space="preserve">Source workbook — multi-vehicle scenario structure</t>
  </si>
  <si>
    <t xml:space="preserve">EV_Fleet_Strategy_Turo.xlsx (Google Drive)</t>
  </si>
  <si>
    <t xml:space="preserve">March 2026</t>
  </si>
  <si>
    <t xml:space="preserve">Source PDF — purchase-only thesis + unit economics</t>
  </si>
  <si>
    <t xml:space="preserve">EV_Fleet_Sourcing_Strategy.pdf (Google Drive / Bestly Cloud)</t>
  </si>
  <si>
    <t xml:space="preserve">Note on robotaxi revenue</t>
  </si>
  <si>
    <t xml:space="preserve">Robotaxi revenue is INTENTIONALLY EXCLUDED from this model. The Tesla owner-fleet program is not yet live.</t>
  </si>
  <si>
    <t xml:space="preserve">Acquisition decisions should be priced on Turo P&amp;L alone; treat robotaxi as forward-looking optionality.</t>
  </si>
  <si>
    <t xml:space="preserve">When the owner program opens, re-run Unit Economics + Fleet Scenarios with current robotaxi data.</t>
  </si>
  <si>
    <t xml:space="preserve">Note on leasing</t>
  </si>
  <si>
    <t xml:space="preserve">Leasing is INTENTIONALLY EXCLUDED. Three reasons (per source PDF):</t>
  </si>
  <si>
    <t xml:space="preserve">  (1) Tesla direct leases prohibit commercial / peer-to-peer rental use — repossession risk.</t>
  </si>
  <si>
    <t xml:space="preserve">  (2) Operation already paces 30,000+ mi/vehicle/year — exceeds every standard lease allowance.</t>
  </si>
  <si>
    <t xml:space="preserve">  (3) Only purchased vehicles are eligible for Tesla's forthcoming owner-robotaxi network.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</si>
</sst>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0"/>
    <numFmt numFmtId="168" formatCode="0.0"/>
    <numFmt numFmtId="169" formatCode="\$#,##0.00;&quot;($&quot;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666666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i val="true"/>
      <sz val="12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F2FF"/>
        <bgColor rgb="FFF3F4F6"/>
      </patternFill>
    </fill>
    <fill>
      <patternFill patternType="solid">
        <fgColor rgb="FF312E81"/>
        <bgColor rgb="FF333333"/>
      </patternFill>
    </fill>
    <fill>
      <patternFill patternType="solid">
        <fgColor rgb="FFF3F4F6"/>
        <bgColor rgb="FFEEF2FF"/>
      </patternFill>
    </fill>
    <fill>
      <patternFill patternType="solid">
        <fgColor rgb="FFDCFCE7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CFCE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DCFCE7"/>
      <rgbColor rgb="FF660066"/>
      <rgbColor rgb="FFFF8080"/>
      <rgbColor rgb="FF0066CC"/>
      <rgbColor rgb="FFD4D4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12E8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80"/>
    <col collapsed="false" customWidth="true" hidden="false" outlineLevel="0" max="4" min="4" style="0" width="40"/>
  </cols>
  <sheetData>
    <row r="2" customFormat="false" ht="15" hidden="false" customHeight="false" outlineLevel="0" collapsed="false">
      <c r="B2" s="1" t="s">
        <v>0</v>
      </c>
    </row>
    <row r="3" customFormat="false" ht="22.0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2" customFormat="false" ht="16.15" hidden="false" customHeight="false" outlineLevel="0" collapsed="false">
      <c r="B12" s="6" t="s">
        <v>13</v>
      </c>
    </row>
    <row r="13" customFormat="false" ht="15" hidden="false" customHeight="false" outlineLevel="0" collapsed="false">
      <c r="B13" s="5" t="s">
        <v>14</v>
      </c>
    </row>
    <row r="14" customFormat="false" ht="15" hidden="false" customHeight="false" outlineLevel="0" collapsed="false">
      <c r="B14" s="5" t="s">
        <v>15</v>
      </c>
    </row>
    <row r="15" customFormat="false" ht="15" hidden="false" customHeight="false" outlineLevel="0" collapsed="false">
      <c r="B15" s="5" t="s">
        <v>16</v>
      </c>
    </row>
    <row r="16" customFormat="false" ht="15" hidden="false" customHeight="false" outlineLevel="0" collapsed="false">
      <c r="B16" s="5" t="s">
        <v>17</v>
      </c>
    </row>
    <row r="17" customFormat="false" ht="15" hidden="false" customHeight="false" outlineLevel="0" collapsed="false">
      <c r="B17" s="5" t="s">
        <v>18</v>
      </c>
    </row>
    <row r="18" customFormat="false" ht="15" hidden="false" customHeight="false" outlineLevel="0" collapsed="false">
      <c r="B18" s="5" t="s">
        <v>19</v>
      </c>
    </row>
    <row r="21" customFormat="false" ht="16.15" hidden="false" customHeight="false" outlineLevel="0" collapsed="false">
      <c r="B21" s="6" t="s">
        <v>20</v>
      </c>
    </row>
    <row r="22" customFormat="false" ht="15" hidden="false" customHeight="false" outlineLevel="0" collapsed="false">
      <c r="B22" s="4" t="s">
        <v>21</v>
      </c>
      <c r="C22" s="5" t="s">
        <v>22</v>
      </c>
    </row>
    <row r="23" customFormat="false" ht="15" hidden="false" customHeight="false" outlineLevel="0" collapsed="false">
      <c r="B23" s="4" t="s">
        <v>23</v>
      </c>
      <c r="C23" s="5" t="s">
        <v>24</v>
      </c>
    </row>
    <row r="24" customFormat="false" ht="15" hidden="false" customHeight="false" outlineLevel="0" collapsed="false">
      <c r="B24" s="4" t="s">
        <v>25</v>
      </c>
      <c r="C24" s="5" t="s">
        <v>26</v>
      </c>
    </row>
    <row r="25" customFormat="false" ht="15" hidden="false" customHeight="false" outlineLevel="0" collapsed="false">
      <c r="B25" s="4" t="s">
        <v>27</v>
      </c>
      <c r="C25" s="5" t="s">
        <v>28</v>
      </c>
    </row>
    <row r="26" customFormat="false" ht="15" hidden="false" customHeight="false" outlineLevel="0" collapsed="false">
      <c r="B26" s="4" t="s">
        <v>29</v>
      </c>
      <c r="C26" s="5" t="s">
        <v>30</v>
      </c>
    </row>
    <row r="27" customFormat="false" ht="15" hidden="false" customHeight="false" outlineLevel="0" collapsed="false">
      <c r="B27" s="4" t="s">
        <v>31</v>
      </c>
      <c r="C27" s="5" t="s">
        <v>32</v>
      </c>
    </row>
    <row r="28" customFormat="false" ht="15" hidden="false" customHeight="false" outlineLevel="0" collapsed="false">
      <c r="B28" s="4" t="s">
        <v>33</v>
      </c>
      <c r="C28" s="5" t="s">
        <v>34</v>
      </c>
    </row>
    <row r="29" customFormat="false" ht="15" hidden="false" customHeight="false" outlineLevel="0" collapsed="false">
      <c r="B29" s="4" t="s">
        <v>35</v>
      </c>
      <c r="C29" s="5" t="s">
        <v>36</v>
      </c>
    </row>
    <row r="32" customFormat="false" ht="16.15" hidden="false" customHeight="false" outlineLevel="0" collapsed="false">
      <c r="B32" s="6" t="s">
        <v>37</v>
      </c>
    </row>
    <row r="33" customFormat="false" ht="15" hidden="false" customHeight="false" outlineLevel="0" collapsed="false">
      <c r="B33" s="7" t="s">
        <v>38</v>
      </c>
      <c r="C33" s="0" t="s">
        <v>39</v>
      </c>
    </row>
    <row r="34" customFormat="false" ht="15" hidden="false" customHeight="false" outlineLevel="0" collapsed="false">
      <c r="B34" s="5" t="s">
        <v>40</v>
      </c>
      <c r="C34" s="0" t="s">
        <v>41</v>
      </c>
    </row>
    <row r="35" customFormat="false" ht="15" hidden="false" customHeight="false" outlineLevel="0" collapsed="false">
      <c r="B35" s="8" t="s">
        <v>42</v>
      </c>
      <c r="C35" s="0" t="s">
        <v>43</v>
      </c>
    </row>
    <row r="36" customFormat="false" ht="15" hidden="false" customHeight="false" outlineLevel="0" collapsed="false">
      <c r="B36" s="9"/>
      <c r="C36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70"/>
  </cols>
  <sheetData>
    <row r="1" customFormat="false" ht="22.05" hidden="false" customHeight="false" outlineLevel="0" collapsed="false">
      <c r="A1" s="2" t="s">
        <v>45</v>
      </c>
    </row>
    <row r="2" customFormat="false" ht="15" hidden="false" customHeight="false" outlineLevel="0" collapsed="false">
      <c r="A2" s="10" t="s">
        <v>46</v>
      </c>
    </row>
    <row r="4" customFormat="false" ht="16.15" hidden="false" customHeight="false" outlineLevel="0" collapsed="false">
      <c r="A4" s="11" t="s">
        <v>47</v>
      </c>
      <c r="B4" s="12"/>
      <c r="C4" s="12"/>
      <c r="D4" s="12"/>
    </row>
    <row r="5" customFormat="false" ht="15" hidden="false" customHeight="false" outlineLevel="0" collapsed="false">
      <c r="A5" s="13" t="s">
        <v>48</v>
      </c>
      <c r="B5" s="13" t="s">
        <v>49</v>
      </c>
      <c r="C5" s="13" t="s">
        <v>50</v>
      </c>
      <c r="D5" s="13" t="s">
        <v>51</v>
      </c>
    </row>
    <row r="6" customFormat="false" ht="15" hidden="false" customHeight="false" outlineLevel="0" collapsed="false">
      <c r="A6" s="5" t="s">
        <v>52</v>
      </c>
      <c r="B6" s="5" t="s">
        <v>53</v>
      </c>
      <c r="C6" s="14" t="n">
        <v>36000</v>
      </c>
      <c r="D6" s="10" t="s">
        <v>54</v>
      </c>
    </row>
    <row r="7" customFormat="false" ht="15" hidden="false" customHeight="false" outlineLevel="0" collapsed="false">
      <c r="A7" s="5" t="s">
        <v>55</v>
      </c>
      <c r="B7" s="5" t="s">
        <v>56</v>
      </c>
      <c r="C7" s="14" t="n">
        <v>32000</v>
      </c>
      <c r="D7" s="10" t="s">
        <v>57</v>
      </c>
    </row>
    <row r="8" customFormat="false" ht="15" hidden="false" customHeight="false" outlineLevel="0" collapsed="false">
      <c r="A8" s="5" t="s">
        <v>58</v>
      </c>
      <c r="B8" s="5" t="s">
        <v>59</v>
      </c>
      <c r="C8" s="14" t="n">
        <v>29000</v>
      </c>
      <c r="D8" s="10" t="s">
        <v>60</v>
      </c>
    </row>
    <row r="10" customFormat="false" ht="15" hidden="false" customHeight="false" outlineLevel="0" collapsed="false">
      <c r="A10" s="4" t="s">
        <v>61</v>
      </c>
      <c r="B10" s="10" t="s">
        <v>62</v>
      </c>
    </row>
    <row r="11" customFormat="false" ht="15" hidden="false" customHeight="false" outlineLevel="0" collapsed="false">
      <c r="A11" s="4" t="s">
        <v>63</v>
      </c>
      <c r="B11" s="15" t="n">
        <f aca="false">AVERAGE(C7,C8)</f>
        <v>30500</v>
      </c>
      <c r="C11" s="10" t="s">
        <v>64</v>
      </c>
    </row>
    <row r="13" customFormat="false" ht="16.15" hidden="false" customHeight="false" outlineLevel="0" collapsed="false">
      <c r="A13" s="11" t="s">
        <v>65</v>
      </c>
      <c r="B13" s="12"/>
      <c r="C13" s="12"/>
      <c r="D13" s="12"/>
    </row>
    <row r="14" customFormat="false" ht="15" hidden="false" customHeight="false" outlineLevel="0" collapsed="false">
      <c r="A14" s="13" t="s">
        <v>66</v>
      </c>
      <c r="B14" s="13" t="s">
        <v>67</v>
      </c>
      <c r="C14" s="13"/>
      <c r="D14" s="13" t="s">
        <v>51</v>
      </c>
    </row>
    <row r="15" customFormat="false" ht="15" hidden="false" customHeight="false" outlineLevel="0" collapsed="false">
      <c r="A15" s="4" t="s">
        <v>68</v>
      </c>
      <c r="B15" s="16" t="n">
        <v>0.2</v>
      </c>
      <c r="D15" s="10" t="s">
        <v>69</v>
      </c>
    </row>
    <row r="16" customFormat="false" ht="15" hidden="false" customHeight="false" outlineLevel="0" collapsed="false">
      <c r="A16" s="4" t="s">
        <v>70</v>
      </c>
      <c r="B16" s="17" t="n">
        <v>48</v>
      </c>
      <c r="D16" s="10" t="s">
        <v>71</v>
      </c>
    </row>
    <row r="17" customFormat="false" ht="15" hidden="false" customHeight="false" outlineLevel="0" collapsed="false">
      <c r="A17" s="4" t="s">
        <v>72</v>
      </c>
      <c r="B17" s="16" t="n">
        <v>0.065</v>
      </c>
      <c r="D17" s="10" t="s">
        <v>73</v>
      </c>
    </row>
    <row r="18" customFormat="false" ht="15" hidden="false" customHeight="false" outlineLevel="0" collapsed="false">
      <c r="A18" s="4" t="s">
        <v>74</v>
      </c>
      <c r="B18" s="16" t="n">
        <v>0.09</v>
      </c>
      <c r="D18" s="10" t="s">
        <v>73</v>
      </c>
    </row>
    <row r="19" customFormat="false" ht="15" hidden="false" customHeight="false" outlineLevel="0" collapsed="false">
      <c r="A19" s="4" t="s">
        <v>75</v>
      </c>
      <c r="B19" s="16" t="n">
        <v>0.11</v>
      </c>
      <c r="D19" s="10" t="s">
        <v>73</v>
      </c>
    </row>
    <row r="20" customFormat="false" ht="15" hidden="false" customHeight="false" outlineLevel="0" collapsed="false">
      <c r="A20" s="4" t="s">
        <v>76</v>
      </c>
      <c r="B20" s="18" t="n">
        <v>0.09</v>
      </c>
      <c r="D20" s="10" t="s">
        <v>77</v>
      </c>
    </row>
    <row r="22" customFormat="false" ht="16.15" hidden="false" customHeight="false" outlineLevel="0" collapsed="false">
      <c r="A22" s="11" t="s">
        <v>78</v>
      </c>
      <c r="B22" s="12"/>
      <c r="C22" s="12"/>
      <c r="D22" s="12"/>
    </row>
    <row r="23" customFormat="false" ht="15" hidden="false" customHeight="false" outlineLevel="0" collapsed="false">
      <c r="A23" s="13" t="s">
        <v>79</v>
      </c>
      <c r="B23" s="13" t="s">
        <v>80</v>
      </c>
      <c r="C23" s="13" t="s">
        <v>81</v>
      </c>
      <c r="D23" s="13" t="s">
        <v>51</v>
      </c>
    </row>
    <row r="24" customFormat="false" ht="15" hidden="false" customHeight="false" outlineLevel="0" collapsed="false">
      <c r="A24" s="4" t="s">
        <v>82</v>
      </c>
      <c r="B24" s="14" t="n">
        <v>65</v>
      </c>
      <c r="C24" s="16" t="n">
        <v>0.6</v>
      </c>
      <c r="D24" s="10" t="s">
        <v>83</v>
      </c>
    </row>
    <row r="25" customFormat="false" ht="15" hidden="false" customHeight="false" outlineLevel="0" collapsed="false">
      <c r="A25" s="4" t="s">
        <v>84</v>
      </c>
      <c r="B25" s="14" t="n">
        <v>80</v>
      </c>
      <c r="C25" s="16" t="n">
        <v>0.73</v>
      </c>
      <c r="D25" s="10" t="s">
        <v>85</v>
      </c>
    </row>
    <row r="26" customFormat="false" ht="15" hidden="false" customHeight="false" outlineLevel="0" collapsed="false">
      <c r="A26" s="4" t="s">
        <v>86</v>
      </c>
      <c r="B26" s="14" t="n">
        <v>95</v>
      </c>
      <c r="C26" s="16" t="n">
        <v>0.85</v>
      </c>
      <c r="D26" s="10" t="s">
        <v>87</v>
      </c>
    </row>
    <row r="28" customFormat="false" ht="15" hidden="false" customHeight="false" outlineLevel="0" collapsed="false">
      <c r="A28" s="4" t="s">
        <v>88</v>
      </c>
      <c r="B28" s="18" t="n">
        <v>0.1</v>
      </c>
      <c r="D28" s="10" t="s">
        <v>89</v>
      </c>
    </row>
    <row r="30" customFormat="false" ht="16.15" hidden="false" customHeight="false" outlineLevel="0" collapsed="false">
      <c r="A30" s="11" t="s">
        <v>90</v>
      </c>
      <c r="B30" s="12"/>
      <c r="C30" s="12"/>
      <c r="D30" s="12"/>
    </row>
    <row r="31" customFormat="false" ht="15" hidden="false" customHeight="false" outlineLevel="0" collapsed="false">
      <c r="A31" s="13" t="s">
        <v>91</v>
      </c>
      <c r="B31" s="13" t="s">
        <v>92</v>
      </c>
      <c r="C31" s="13"/>
      <c r="D31" s="13" t="s">
        <v>51</v>
      </c>
    </row>
    <row r="32" customFormat="false" ht="15" hidden="false" customHeight="false" outlineLevel="0" collapsed="false">
      <c r="A32" s="4" t="s">
        <v>93</v>
      </c>
      <c r="B32" s="14" t="n">
        <v>175</v>
      </c>
      <c r="D32" s="10" t="s">
        <v>94</v>
      </c>
    </row>
    <row r="33" customFormat="false" ht="15" hidden="false" customHeight="false" outlineLevel="0" collapsed="false">
      <c r="A33" s="4" t="s">
        <v>95</v>
      </c>
      <c r="B33" s="14" t="n">
        <v>375</v>
      </c>
      <c r="D33" s="10" t="s">
        <v>96</v>
      </c>
    </row>
    <row r="34" customFormat="false" ht="15" hidden="false" customHeight="false" outlineLevel="0" collapsed="false">
      <c r="A34" s="4" t="s">
        <v>97</v>
      </c>
      <c r="B34" s="14" t="n">
        <v>250</v>
      </c>
      <c r="D34" s="10" t="s">
        <v>98</v>
      </c>
    </row>
    <row r="35" customFormat="false" ht="15" hidden="false" customHeight="false" outlineLevel="0" collapsed="false">
      <c r="A35" s="4" t="s">
        <v>99</v>
      </c>
      <c r="B35" s="14" t="n">
        <v>30</v>
      </c>
      <c r="D35" s="10" t="s">
        <v>100</v>
      </c>
    </row>
    <row r="36" customFormat="false" ht="15" hidden="false" customHeight="false" outlineLevel="0" collapsed="false">
      <c r="A36" s="4" t="s">
        <v>101</v>
      </c>
      <c r="B36" s="14" t="n">
        <v>65</v>
      </c>
      <c r="D36" s="10" t="s">
        <v>102</v>
      </c>
    </row>
    <row r="37" customFormat="false" ht="15" hidden="false" customHeight="false" outlineLevel="0" collapsed="false">
      <c r="A37" s="4" t="s">
        <v>103</v>
      </c>
      <c r="B37" s="14" t="n">
        <v>35</v>
      </c>
      <c r="D37" s="10" t="s">
        <v>104</v>
      </c>
    </row>
    <row r="38" customFormat="false" ht="15" hidden="false" customHeight="false" outlineLevel="0" collapsed="false">
      <c r="A38" s="4" t="s">
        <v>105</v>
      </c>
      <c r="B38" s="14" t="n">
        <v>225</v>
      </c>
      <c r="D38" s="10" t="s">
        <v>106</v>
      </c>
    </row>
    <row r="39" customFormat="false" ht="15" hidden="false" customHeight="false" outlineLevel="0" collapsed="false">
      <c r="A39" s="4" t="s">
        <v>107</v>
      </c>
      <c r="B39" s="19" t="n">
        <f aca="false">SUM(B32:B38)</f>
        <v>1155</v>
      </c>
    </row>
    <row r="41" customFormat="false" ht="16.15" hidden="false" customHeight="false" outlineLevel="0" collapsed="false">
      <c r="A41" s="11" t="s">
        <v>108</v>
      </c>
      <c r="B41" s="12"/>
      <c r="C41" s="12"/>
      <c r="D41" s="12"/>
    </row>
    <row r="42" customFormat="false" ht="15" hidden="false" customHeight="false" outlineLevel="0" collapsed="false">
      <c r="A42" s="4" t="s">
        <v>109</v>
      </c>
      <c r="B42" s="14" t="n">
        <v>0</v>
      </c>
      <c r="D42" s="10" t="s">
        <v>110</v>
      </c>
    </row>
    <row r="43" customFormat="false" ht="15" hidden="false" customHeight="false" outlineLevel="0" collapsed="false">
      <c r="A43" s="4" t="s">
        <v>111</v>
      </c>
      <c r="B43" s="20" t="n">
        <v>3</v>
      </c>
      <c r="D43" s="10" t="s">
        <v>112</v>
      </c>
    </row>
    <row r="44" customFormat="false" ht="15" hidden="false" customHeight="false" outlineLevel="0" collapsed="false">
      <c r="A44" s="4" t="s">
        <v>113</v>
      </c>
      <c r="B44" s="17" t="n">
        <v>2</v>
      </c>
      <c r="D44" s="10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16"/>
  </cols>
  <sheetData>
    <row r="1" customFormat="false" ht="22.05" hidden="false" customHeight="false" outlineLevel="0" collapsed="false">
      <c r="A1" s="2" t="s">
        <v>115</v>
      </c>
    </row>
    <row r="2" customFormat="false" ht="15" hidden="false" customHeight="false" outlineLevel="0" collapsed="false">
      <c r="A2" s="10" t="s">
        <v>116</v>
      </c>
    </row>
    <row r="4" customFormat="false" ht="15" hidden="false" customHeight="false" outlineLevel="0" collapsed="false">
      <c r="A4" s="13" t="s">
        <v>117</v>
      </c>
      <c r="B4" s="13" t="s">
        <v>118</v>
      </c>
      <c r="C4" s="13" t="s">
        <v>119</v>
      </c>
      <c r="D4" s="13" t="s">
        <v>120</v>
      </c>
      <c r="E4" s="13" t="s">
        <v>121</v>
      </c>
    </row>
    <row r="5" customFormat="false" ht="15" hidden="false" customHeight="false" outlineLevel="0" collapsed="false">
      <c r="A5" s="10" t="s">
        <v>122</v>
      </c>
      <c r="B5" s="21" t="s">
        <v>123</v>
      </c>
      <c r="C5" s="21" t="s">
        <v>124</v>
      </c>
      <c r="D5" s="21" t="s">
        <v>125</v>
      </c>
      <c r="E5" s="21" t="s">
        <v>126</v>
      </c>
    </row>
    <row r="7" customFormat="false" ht="16.15" hidden="false" customHeight="false" outlineLevel="0" collapsed="false">
      <c r="A7" s="11" t="s">
        <v>127</v>
      </c>
      <c r="B7" s="12"/>
      <c r="C7" s="12"/>
      <c r="D7" s="12"/>
      <c r="E7" s="12"/>
    </row>
    <row r="8" customFormat="false" ht="15" hidden="false" customHeight="false" outlineLevel="0" collapsed="false">
      <c r="A8" s="4" t="s">
        <v>128</v>
      </c>
      <c r="B8" s="22" t="n">
        <v>2</v>
      </c>
      <c r="C8" s="22" t="n">
        <v>4</v>
      </c>
      <c r="D8" s="22" t="n">
        <v>6</v>
      </c>
      <c r="E8" s="22" t="n">
        <v>8</v>
      </c>
    </row>
    <row r="9" customFormat="false" ht="15" hidden="false" customHeight="false" outlineLevel="0" collapsed="false">
      <c r="A9" s="4" t="s">
        <v>129</v>
      </c>
      <c r="B9" s="23" t="n">
        <f aca="false">Inputs!B11</f>
        <v>30500</v>
      </c>
      <c r="C9" s="23" t="n">
        <f aca="false">Inputs!B11</f>
        <v>30500</v>
      </c>
      <c r="D9" s="23" t="n">
        <f aca="false">Inputs!B11</f>
        <v>30500</v>
      </c>
      <c r="E9" s="23" t="n">
        <f aca="false">Inputs!B11</f>
        <v>30500</v>
      </c>
    </row>
    <row r="10" customFormat="false" ht="15" hidden="false" customHeight="false" outlineLevel="0" collapsed="false">
      <c r="A10" s="4" t="s">
        <v>130</v>
      </c>
      <c r="B10" s="15" t="n">
        <f aca="false">B8*B9</f>
        <v>61000</v>
      </c>
      <c r="C10" s="15" t="n">
        <f aca="false">C8*C9</f>
        <v>122000</v>
      </c>
      <c r="D10" s="15" t="n">
        <f aca="false">D8*D9</f>
        <v>183000</v>
      </c>
      <c r="E10" s="15" t="n">
        <f aca="false">E8*E9</f>
        <v>244000</v>
      </c>
    </row>
    <row r="11" customFormat="false" ht="15" hidden="false" customHeight="false" outlineLevel="0" collapsed="false">
      <c r="A11" s="4" t="s">
        <v>131</v>
      </c>
      <c r="B11" s="15" t="n">
        <f aca="false">B10*Inputs!B15</f>
        <v>12200</v>
      </c>
      <c r="C11" s="15" t="n">
        <f aca="false">C10*Inputs!B15</f>
        <v>24400</v>
      </c>
      <c r="D11" s="15" t="n">
        <f aca="false">D10*Inputs!B15</f>
        <v>36600</v>
      </c>
      <c r="E11" s="15" t="n">
        <f aca="false">E10*Inputs!B15</f>
        <v>48800</v>
      </c>
    </row>
    <row r="12" customFormat="false" ht="15" hidden="false" customHeight="false" outlineLevel="0" collapsed="false">
      <c r="A12" s="4" t="s">
        <v>132</v>
      </c>
      <c r="B12" s="15" t="n">
        <f aca="false">B8*1500</f>
        <v>3000</v>
      </c>
      <c r="C12" s="15" t="n">
        <f aca="false">C8*1500</f>
        <v>6000</v>
      </c>
      <c r="D12" s="15" t="n">
        <f aca="false">D8*1500</f>
        <v>9000</v>
      </c>
      <c r="E12" s="15" t="n">
        <f aca="false">E8*1500</f>
        <v>12000</v>
      </c>
    </row>
    <row r="13" customFormat="false" ht="15" hidden="false" customHeight="false" outlineLevel="0" collapsed="false">
      <c r="A13" s="4" t="s">
        <v>133</v>
      </c>
      <c r="B13" s="15" t="n">
        <f aca="false">4*Inputs!B39*Inputs!B43</f>
        <v>13860</v>
      </c>
      <c r="C13" s="15" t="n">
        <f aca="false">6*Inputs!B39*Inputs!B43</f>
        <v>20790</v>
      </c>
      <c r="D13" s="15" t="n">
        <f aca="false">8*Inputs!B39*Inputs!B43</f>
        <v>27720</v>
      </c>
      <c r="E13" s="15" t="n">
        <f aca="false">10*Inputs!B39*Inputs!B43</f>
        <v>34650</v>
      </c>
    </row>
    <row r="14" customFormat="false" ht="15" hidden="false" customHeight="false" outlineLevel="0" collapsed="false">
      <c r="A14" s="24" t="s">
        <v>134</v>
      </c>
      <c r="B14" s="25" t="n">
        <f aca="false">SUM(B11:B13)</f>
        <v>29060</v>
      </c>
      <c r="C14" s="25" t="n">
        <f aca="false">SUM(C11:C13)</f>
        <v>51190</v>
      </c>
      <c r="D14" s="25" t="n">
        <f aca="false">SUM(D11:D13)</f>
        <v>73320</v>
      </c>
      <c r="E14" s="25" t="n">
        <f aca="false">SUM(E11:E13)</f>
        <v>95450</v>
      </c>
    </row>
    <row r="16" customFormat="false" ht="16.15" hidden="false" customHeight="false" outlineLevel="0" collapsed="false">
      <c r="A16" s="11" t="s">
        <v>135</v>
      </c>
      <c r="B16" s="12"/>
      <c r="C16" s="12"/>
      <c r="D16" s="12"/>
      <c r="E16" s="12"/>
    </row>
    <row r="17" customFormat="false" ht="15" hidden="false" customHeight="false" outlineLevel="0" collapsed="false">
      <c r="A17" s="4" t="s">
        <v>136</v>
      </c>
      <c r="B17" s="15" t="n">
        <f aca="false">B9*(1-Inputs!B15)</f>
        <v>24400</v>
      </c>
      <c r="C17" s="15" t="n">
        <f aca="false">C9*(1-Inputs!B15)</f>
        <v>24400</v>
      </c>
      <c r="D17" s="15" t="n">
        <f aca="false">D9*(1-Inputs!B15)</f>
        <v>24400</v>
      </c>
      <c r="E17" s="15" t="n">
        <f aca="false">E9*(1-Inputs!B15)</f>
        <v>24400</v>
      </c>
    </row>
    <row r="18" customFormat="false" ht="15" hidden="false" customHeight="false" outlineLevel="0" collapsed="false">
      <c r="A18" s="4" t="s">
        <v>137</v>
      </c>
      <c r="B18" s="15" t="n">
        <f aca="false">PMT(Inputs!B20/12,Inputs!B16,-B17)</f>
        <v>607.195033923995</v>
      </c>
      <c r="C18" s="15" t="n">
        <f aca="false">PMT(Inputs!B20/12,Inputs!B16,-C17)</f>
        <v>607.195033923995</v>
      </c>
      <c r="D18" s="15" t="n">
        <f aca="false">PMT(Inputs!B20/12,Inputs!B16,-D17)</f>
        <v>607.195033923995</v>
      </c>
      <c r="E18" s="15" t="n">
        <f aca="false">PMT(Inputs!B20/12,Inputs!B16,-E17)</f>
        <v>607.195033923995</v>
      </c>
    </row>
    <row r="19" customFormat="false" ht="15" hidden="false" customHeight="false" outlineLevel="0" collapsed="false">
      <c r="A19" s="4" t="s">
        <v>138</v>
      </c>
      <c r="B19" s="15" t="n">
        <f aca="false">B8*B18</f>
        <v>1214.39006784799</v>
      </c>
      <c r="C19" s="15" t="n">
        <f aca="false">C8*C18</f>
        <v>2428.78013569598</v>
      </c>
      <c r="D19" s="15" t="n">
        <f aca="false">D8*D18</f>
        <v>3643.17020354397</v>
      </c>
      <c r="E19" s="15" t="n">
        <f aca="false">E8*E18</f>
        <v>4857.56027139196</v>
      </c>
    </row>
    <row r="21" customFormat="false" ht="16.15" hidden="false" customHeight="false" outlineLevel="0" collapsed="false">
      <c r="A21" s="11" t="s">
        <v>139</v>
      </c>
      <c r="B21" s="12"/>
      <c r="C21" s="12"/>
      <c r="D21" s="12"/>
      <c r="E21" s="12"/>
    </row>
    <row r="22" customFormat="false" ht="15" hidden="false" customHeight="false" outlineLevel="0" collapsed="false">
      <c r="A22" s="4" t="s">
        <v>140</v>
      </c>
      <c r="B22" s="23" t="n">
        <f aca="false">Inputs!B25*Inputs!C25*30*(1-Inputs!B28)</f>
        <v>1576.8</v>
      </c>
      <c r="C22" s="23" t="n">
        <f aca="false">Inputs!B25*Inputs!C25*30*(1-Inputs!B28)</f>
        <v>1576.8</v>
      </c>
      <c r="D22" s="23" t="n">
        <f aca="false">Inputs!B25*Inputs!C25*30*(1-Inputs!B28)</f>
        <v>1576.8</v>
      </c>
      <c r="E22" s="23" t="n">
        <f aca="false">Inputs!B25*Inputs!C25*30*(1-Inputs!B28)</f>
        <v>1576.8</v>
      </c>
    </row>
    <row r="23" customFormat="false" ht="15" hidden="false" customHeight="false" outlineLevel="0" collapsed="false">
      <c r="A23" s="4" t="s">
        <v>141</v>
      </c>
      <c r="B23" s="15" t="n">
        <f aca="false">4*B22</f>
        <v>6307.2</v>
      </c>
      <c r="C23" s="15" t="n">
        <f aca="false">6*C22</f>
        <v>9460.8</v>
      </c>
      <c r="D23" s="15" t="n">
        <f aca="false">8*D22</f>
        <v>12614.4</v>
      </c>
      <c r="E23" s="15" t="n">
        <f aca="false">10*E22</f>
        <v>15768</v>
      </c>
    </row>
    <row r="25" customFormat="false" ht="16.15" hidden="false" customHeight="false" outlineLevel="0" collapsed="false">
      <c r="A25" s="11" t="s">
        <v>142</v>
      </c>
      <c r="B25" s="12"/>
      <c r="C25" s="12"/>
      <c r="D25" s="12"/>
      <c r="E25" s="12"/>
    </row>
    <row r="26" customFormat="false" ht="15" hidden="false" customHeight="false" outlineLevel="0" collapsed="false">
      <c r="A26" s="4" t="s">
        <v>143</v>
      </c>
      <c r="B26" s="23" t="n">
        <f aca="false">Inputs!B39</f>
        <v>1155</v>
      </c>
      <c r="C26" s="23" t="n">
        <f aca="false">Inputs!B39</f>
        <v>1155</v>
      </c>
      <c r="D26" s="23" t="n">
        <f aca="false">Inputs!B39</f>
        <v>1155</v>
      </c>
      <c r="E26" s="23" t="n">
        <f aca="false">Inputs!B39</f>
        <v>1155</v>
      </c>
    </row>
    <row r="27" customFormat="false" ht="15" hidden="false" customHeight="false" outlineLevel="0" collapsed="false">
      <c r="A27" s="4" t="s">
        <v>144</v>
      </c>
      <c r="B27" s="15" t="n">
        <f aca="false">4*B26</f>
        <v>4620</v>
      </c>
      <c r="C27" s="15" t="n">
        <f aca="false">6*C26</f>
        <v>6930</v>
      </c>
      <c r="D27" s="15" t="n">
        <f aca="false">8*D26</f>
        <v>9240</v>
      </c>
      <c r="E27" s="15" t="n">
        <f aca="false">10*E26</f>
        <v>11550</v>
      </c>
    </row>
    <row r="29" customFormat="false" ht="16.15" hidden="false" customHeight="false" outlineLevel="0" collapsed="false">
      <c r="A29" s="11" t="s">
        <v>145</v>
      </c>
      <c r="B29" s="12"/>
      <c r="C29" s="12"/>
      <c r="D29" s="12"/>
      <c r="E29" s="12"/>
    </row>
    <row r="30" customFormat="false" ht="15" hidden="false" customHeight="false" outlineLevel="0" collapsed="false">
      <c r="A30" s="4" t="s">
        <v>146</v>
      </c>
      <c r="B30" s="15" t="n">
        <f aca="false">B23</f>
        <v>6307.2</v>
      </c>
      <c r="C30" s="15" t="n">
        <f aca="false">C23</f>
        <v>9460.8</v>
      </c>
      <c r="D30" s="15" t="n">
        <f aca="false">D23</f>
        <v>12614.4</v>
      </c>
      <c r="E30" s="15" t="n">
        <f aca="false">E23</f>
        <v>15768</v>
      </c>
    </row>
    <row r="31" customFormat="false" ht="15" hidden="false" customHeight="false" outlineLevel="0" collapsed="false">
      <c r="A31" s="4" t="s">
        <v>147</v>
      </c>
      <c r="B31" s="15" t="n">
        <f aca="false">-B27</f>
        <v>-4620</v>
      </c>
      <c r="C31" s="15" t="n">
        <f aca="false">-C27</f>
        <v>-6930</v>
      </c>
      <c r="D31" s="15" t="n">
        <f aca="false">-D27</f>
        <v>-9240</v>
      </c>
      <c r="E31" s="15" t="n">
        <f aca="false">-E27</f>
        <v>-11550</v>
      </c>
    </row>
    <row r="32" customFormat="false" ht="15" hidden="false" customHeight="false" outlineLevel="0" collapsed="false">
      <c r="A32" s="4" t="s">
        <v>148</v>
      </c>
      <c r="B32" s="15" t="n">
        <f aca="false">-B19</f>
        <v>-1214.39006784799</v>
      </c>
      <c r="C32" s="15" t="n">
        <f aca="false">-C19</f>
        <v>-2428.78013569598</v>
      </c>
      <c r="D32" s="15" t="n">
        <f aca="false">-D19</f>
        <v>-3643.17020354397</v>
      </c>
      <c r="E32" s="15" t="n">
        <f aca="false">-E19</f>
        <v>-4857.56027139196</v>
      </c>
    </row>
    <row r="33" customFormat="false" ht="15" hidden="false" customHeight="false" outlineLevel="0" collapsed="false">
      <c r="A33" s="24" t="s">
        <v>149</v>
      </c>
      <c r="B33" s="25" t="n">
        <f aca="false">SUM(B30:B32)</f>
        <v>472.80993215201</v>
      </c>
      <c r="C33" s="25" t="n">
        <f aca="false">SUM(C30:C32)</f>
        <v>102.01986430402</v>
      </c>
      <c r="D33" s="25" t="n">
        <f aca="false">SUM(D30:D32)</f>
        <v>-268.770203543969</v>
      </c>
      <c r="E33" s="25" t="n">
        <f aca="false">SUM(E30:E32)</f>
        <v>-639.560271391958</v>
      </c>
    </row>
    <row r="34" customFormat="false" ht="15" hidden="false" customHeight="false" outlineLevel="0" collapsed="false">
      <c r="A34" s="4" t="s">
        <v>150</v>
      </c>
      <c r="B34" s="15" t="n">
        <f aca="false">B33*12</f>
        <v>5673.71918582412</v>
      </c>
      <c r="C34" s="15" t="n">
        <f aca="false">C33*12</f>
        <v>1224.23837164824</v>
      </c>
      <c r="D34" s="15" t="n">
        <f aca="false">D33*12</f>
        <v>-3225.24244252763</v>
      </c>
      <c r="E34" s="15" t="n">
        <f aca="false">E33*12</f>
        <v>-7674.7232567035</v>
      </c>
    </row>
    <row r="36" customFormat="false" ht="16.15" hidden="false" customHeight="false" outlineLevel="0" collapsed="false">
      <c r="A36" s="11" t="s">
        <v>151</v>
      </c>
      <c r="B36" s="12"/>
      <c r="C36" s="12"/>
      <c r="D36" s="12"/>
      <c r="E36" s="12"/>
    </row>
    <row r="37" customFormat="false" ht="15" hidden="false" customHeight="false" outlineLevel="0" collapsed="false">
      <c r="A37" s="4" t="s">
        <v>152</v>
      </c>
      <c r="B37" s="15" t="n">
        <f aca="false">4*Inputs!B24*Inputs!C24*30*(1-Inputs!B28)-4*Inputs!B39-B19</f>
        <v>-1622.39006784799</v>
      </c>
      <c r="C37" s="15" t="n">
        <f aca="false">6*Inputs!B24*Inputs!C24*30*(1-Inputs!B28)-6*Inputs!B39-C19</f>
        <v>-3040.78013569598</v>
      </c>
      <c r="D37" s="15" t="n">
        <f aca="false">8*Inputs!B24*Inputs!C24*30*(1-Inputs!B28)-8*Inputs!B39-D19</f>
        <v>-4459.17020354397</v>
      </c>
      <c r="E37" s="15" t="n">
        <f aca="false">10*Inputs!B24*Inputs!C24*30*(1-Inputs!B28)-10*Inputs!B39-E19</f>
        <v>-5877.56027139196</v>
      </c>
    </row>
    <row r="38" customFormat="false" ht="15" hidden="false" customHeight="false" outlineLevel="0" collapsed="false">
      <c r="A38" s="4" t="s">
        <v>153</v>
      </c>
      <c r="B38" s="15" t="n">
        <f aca="false">4*Inputs!B26*Inputs!C26*30*(1-Inputs!B28)-4*Inputs!B39-B19</f>
        <v>2886.60993215201</v>
      </c>
      <c r="C38" s="15" t="n">
        <f aca="false">6*Inputs!B26*Inputs!C26*30*(1-Inputs!B28)-6*Inputs!B39-C19</f>
        <v>3722.71986430402</v>
      </c>
      <c r="D38" s="15" t="n">
        <f aca="false">8*Inputs!B26*Inputs!C26*30*(1-Inputs!B28)-8*Inputs!B39-D19</f>
        <v>4558.82979645603</v>
      </c>
      <c r="E38" s="15" t="n">
        <f aca="false">10*Inputs!B26*Inputs!C26*30*(1-Inputs!B28)-10*Inputs!B39-E19</f>
        <v>5394.93972860804</v>
      </c>
    </row>
    <row r="40" customFormat="false" ht="15" hidden="false" customHeight="false" outlineLevel="0" collapsed="false">
      <c r="A40" s="4" t="s">
        <v>154</v>
      </c>
      <c r="B40" s="10" t="s">
        <v>155</v>
      </c>
    </row>
    <row r="41" customFormat="false" ht="15" hidden="false" customHeight="false" outlineLevel="0" collapsed="false">
      <c r="A41" s="4" t="s">
        <v>156</v>
      </c>
      <c r="B41" s="10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8"/>
    <col collapsed="false" customWidth="true" hidden="false" outlineLevel="0" max="5" min="5" style="0" width="30"/>
  </cols>
  <sheetData>
    <row r="1" customFormat="false" ht="22.05" hidden="false" customHeight="false" outlineLevel="0" collapsed="false">
      <c r="A1" s="2" t="s">
        <v>158</v>
      </c>
    </row>
    <row r="2" customFormat="false" ht="15" hidden="false" customHeight="false" outlineLevel="0" collapsed="false">
      <c r="A2" s="10" t="s">
        <v>159</v>
      </c>
    </row>
    <row r="4" customFormat="false" ht="15" hidden="false" customHeight="false" outlineLevel="0" collapsed="false">
      <c r="A4" s="13" t="s">
        <v>160</v>
      </c>
      <c r="B4" s="13" t="s">
        <v>82</v>
      </c>
      <c r="C4" s="13" t="s">
        <v>84</v>
      </c>
      <c r="D4" s="13" t="s">
        <v>86</v>
      </c>
      <c r="E4" s="13" t="s">
        <v>51</v>
      </c>
    </row>
    <row r="5" customFormat="false" ht="15" hidden="false" customHeight="false" outlineLevel="0" collapsed="false">
      <c r="A5" s="4" t="s">
        <v>161</v>
      </c>
      <c r="B5" s="23" t="n">
        <f aca="false">Inputs!B24</f>
        <v>65</v>
      </c>
      <c r="C5" s="23" t="n">
        <f aca="false">Inputs!B25</f>
        <v>80</v>
      </c>
      <c r="D5" s="23" t="n">
        <f aca="false">Inputs!B26</f>
        <v>95</v>
      </c>
    </row>
    <row r="6" customFormat="false" ht="15" hidden="false" customHeight="false" outlineLevel="0" collapsed="false">
      <c r="A6" s="4" t="s">
        <v>162</v>
      </c>
      <c r="B6" s="26" t="n">
        <f aca="false">Inputs!C24</f>
        <v>0.6</v>
      </c>
      <c r="C6" s="26" t="n">
        <f aca="false">Inputs!C25</f>
        <v>0.73</v>
      </c>
      <c r="D6" s="26" t="n">
        <f aca="false">Inputs!C26</f>
        <v>0.85</v>
      </c>
    </row>
    <row r="7" customFormat="false" ht="15" hidden="false" customHeight="false" outlineLevel="0" collapsed="false">
      <c r="A7" s="4" t="s">
        <v>163</v>
      </c>
      <c r="B7" s="27" t="n">
        <f aca="false">B6*30</f>
        <v>18</v>
      </c>
      <c r="C7" s="27" t="n">
        <f aca="false">C6*30</f>
        <v>21.9</v>
      </c>
      <c r="D7" s="27" t="n">
        <f aca="false">D6*30</f>
        <v>25.5</v>
      </c>
    </row>
    <row r="8" customFormat="false" ht="15" hidden="false" customHeight="false" outlineLevel="0" collapsed="false">
      <c r="A8" s="4" t="s">
        <v>164</v>
      </c>
      <c r="B8" s="15" t="n">
        <f aca="false">B5*B7</f>
        <v>1170</v>
      </c>
      <c r="C8" s="15" t="n">
        <f aca="false">C5*C7</f>
        <v>1752</v>
      </c>
      <c r="D8" s="15" t="n">
        <f aca="false">D5*D7</f>
        <v>2422.5</v>
      </c>
    </row>
    <row r="9" customFormat="false" ht="15" hidden="false" customHeight="false" outlineLevel="0" collapsed="false">
      <c r="A9" s="4" t="s">
        <v>165</v>
      </c>
      <c r="B9" s="15" t="n">
        <f aca="false">-B8*Inputs!B28</f>
        <v>-117</v>
      </c>
      <c r="C9" s="15" t="n">
        <f aca="false">-C8*Inputs!B28</f>
        <v>-175.2</v>
      </c>
      <c r="D9" s="15" t="n">
        <f aca="false">-D8*Inputs!B28</f>
        <v>-242.25</v>
      </c>
    </row>
    <row r="10" customFormat="false" ht="15" hidden="false" customHeight="false" outlineLevel="0" collapsed="false">
      <c r="A10" s="24" t="s">
        <v>166</v>
      </c>
      <c r="B10" s="25" t="n">
        <f aca="false">B8+B9</f>
        <v>1053</v>
      </c>
      <c r="C10" s="25" t="n">
        <f aca="false">C8+C9</f>
        <v>1576.8</v>
      </c>
      <c r="D10" s="25" t="n">
        <f aca="false">D8+D9</f>
        <v>2180.25</v>
      </c>
    </row>
    <row r="12" customFormat="false" ht="16.15" hidden="false" customHeight="false" outlineLevel="0" collapsed="false">
      <c r="A12" s="11" t="s">
        <v>167</v>
      </c>
    </row>
    <row r="13" customFormat="false" ht="15" hidden="false" customHeight="false" outlineLevel="0" collapsed="false">
      <c r="A13" s="5" t="s">
        <v>168</v>
      </c>
      <c r="B13" s="23" t="n">
        <f aca="false">Inputs!B32</f>
        <v>175</v>
      </c>
      <c r="C13" s="23" t="n">
        <f aca="false">Inputs!B32</f>
        <v>175</v>
      </c>
      <c r="D13" s="23" t="n">
        <f aca="false">Inputs!B32</f>
        <v>175</v>
      </c>
    </row>
    <row r="14" customFormat="false" ht="15" hidden="false" customHeight="false" outlineLevel="0" collapsed="false">
      <c r="A14" s="5" t="s">
        <v>33</v>
      </c>
      <c r="B14" s="23" t="n">
        <f aca="false">Inputs!B33</f>
        <v>375</v>
      </c>
      <c r="C14" s="23" t="n">
        <f aca="false">Inputs!B33</f>
        <v>375</v>
      </c>
      <c r="D14" s="23" t="n">
        <f aca="false">Inputs!B33</f>
        <v>375</v>
      </c>
    </row>
    <row r="15" customFormat="false" ht="15" hidden="false" customHeight="false" outlineLevel="0" collapsed="false">
      <c r="A15" s="5" t="s">
        <v>169</v>
      </c>
      <c r="B15" s="23" t="n">
        <f aca="false">Inputs!B34</f>
        <v>250</v>
      </c>
      <c r="C15" s="23" t="n">
        <f aca="false">Inputs!B34</f>
        <v>250</v>
      </c>
      <c r="D15" s="23" t="n">
        <f aca="false">Inputs!B34</f>
        <v>250</v>
      </c>
    </row>
    <row r="16" customFormat="false" ht="15" hidden="false" customHeight="false" outlineLevel="0" collapsed="false">
      <c r="A16" s="5" t="s">
        <v>99</v>
      </c>
      <c r="B16" s="23" t="n">
        <f aca="false">Inputs!B35</f>
        <v>30</v>
      </c>
      <c r="C16" s="23" t="n">
        <f aca="false">Inputs!B35</f>
        <v>30</v>
      </c>
      <c r="D16" s="23" t="n">
        <f aca="false">Inputs!B35</f>
        <v>30</v>
      </c>
    </row>
    <row r="17" customFormat="false" ht="15" hidden="false" customHeight="false" outlineLevel="0" collapsed="false">
      <c r="A17" s="5" t="s">
        <v>170</v>
      </c>
      <c r="B17" s="23" t="n">
        <f aca="false">Inputs!B36</f>
        <v>65</v>
      </c>
      <c r="C17" s="23" t="n">
        <f aca="false">Inputs!B36</f>
        <v>65</v>
      </c>
      <c r="D17" s="23" t="n">
        <f aca="false">Inputs!B36</f>
        <v>65</v>
      </c>
    </row>
    <row r="18" customFormat="false" ht="15" hidden="false" customHeight="false" outlineLevel="0" collapsed="false">
      <c r="A18" s="5" t="s">
        <v>171</v>
      </c>
      <c r="B18" s="23" t="n">
        <f aca="false">Inputs!B37</f>
        <v>35</v>
      </c>
      <c r="C18" s="23" t="n">
        <f aca="false">Inputs!B37</f>
        <v>35</v>
      </c>
      <c r="D18" s="23" t="n">
        <f aca="false">Inputs!B37</f>
        <v>35</v>
      </c>
    </row>
    <row r="19" customFormat="false" ht="15" hidden="false" customHeight="false" outlineLevel="0" collapsed="false">
      <c r="A19" s="5" t="s">
        <v>105</v>
      </c>
      <c r="B19" s="23" t="n">
        <f aca="false">Inputs!B38</f>
        <v>225</v>
      </c>
      <c r="C19" s="23" t="n">
        <f aca="false">Inputs!B38</f>
        <v>225</v>
      </c>
      <c r="D19" s="23" t="n">
        <f aca="false">Inputs!B38</f>
        <v>225</v>
      </c>
    </row>
    <row r="20" customFormat="false" ht="15" hidden="false" customHeight="false" outlineLevel="0" collapsed="false">
      <c r="A20" s="4" t="s">
        <v>172</v>
      </c>
      <c r="B20" s="15" t="n">
        <f aca="false">PMT(Inputs!B20/12,Inputs!B16,-Inputs!B11*(1-Inputs!B15))</f>
        <v>607.195033923995</v>
      </c>
      <c r="C20" s="15" t="n">
        <f aca="false">PMT(Inputs!B20/12,Inputs!B16,-Inputs!B11*(1-Inputs!B15))</f>
        <v>607.195033923995</v>
      </c>
      <c r="D20" s="15" t="n">
        <f aca="false">PMT(Inputs!B20/12,Inputs!B16,-Inputs!B11*(1-Inputs!B15))</f>
        <v>607.195033923995</v>
      </c>
    </row>
    <row r="21" customFormat="false" ht="15" hidden="false" customHeight="false" outlineLevel="0" collapsed="false">
      <c r="A21" s="24" t="s">
        <v>173</v>
      </c>
      <c r="B21" s="25" t="n">
        <f aca="false">SUM(B13:B20)</f>
        <v>1762.19503392399</v>
      </c>
      <c r="C21" s="25" t="n">
        <f aca="false">SUM(C13:C20)</f>
        <v>1762.19503392399</v>
      </c>
      <c r="D21" s="25" t="n">
        <f aca="false">SUM(D13:D20)</f>
        <v>1762.19503392399</v>
      </c>
    </row>
    <row r="23" customFormat="false" ht="15" hidden="false" customHeight="false" outlineLevel="0" collapsed="false">
      <c r="A23" s="4" t="s">
        <v>174</v>
      </c>
      <c r="B23" s="28" t="n">
        <f aca="false">B10-B21</f>
        <v>-709.195033923995</v>
      </c>
      <c r="C23" s="28" t="n">
        <f aca="false">C10-C21</f>
        <v>-185.395033923995</v>
      </c>
      <c r="D23" s="28" t="n">
        <f aca="false">D10-D21</f>
        <v>418.054966076005</v>
      </c>
    </row>
    <row r="24" customFormat="false" ht="15" hidden="false" customHeight="false" outlineLevel="0" collapsed="false">
      <c r="A24" s="4" t="s">
        <v>175</v>
      </c>
      <c r="B24" s="29" t="n">
        <f aca="false">IFERROR(B23/B10,0)</f>
        <v>-0.673499557382711</v>
      </c>
      <c r="C24" s="29" t="n">
        <f aca="false">IFERROR(C23/C10,0)</f>
        <v>-0.117576759211057</v>
      </c>
      <c r="D24" s="29" t="n">
        <f aca="false">IFERROR(D23/D10,0)</f>
        <v>0.191746343802777</v>
      </c>
    </row>
    <row r="26" customFormat="false" ht="16.15" hidden="false" customHeight="false" outlineLevel="0" collapsed="false">
      <c r="A26" s="11" t="s">
        <v>176</v>
      </c>
    </row>
    <row r="27" customFormat="false" ht="15" hidden="false" customHeight="false" outlineLevel="0" collapsed="false">
      <c r="A27" s="4" t="s">
        <v>177</v>
      </c>
      <c r="B27" s="15" t="n">
        <f aca="false">B10</f>
        <v>1053</v>
      </c>
      <c r="C27" s="15" t="n">
        <f aca="false">C10</f>
        <v>1576.8</v>
      </c>
      <c r="D27" s="15" t="n">
        <f aca="false">D10</f>
        <v>2180.25</v>
      </c>
    </row>
    <row r="28" customFormat="false" ht="15" hidden="false" customHeight="false" outlineLevel="0" collapsed="false">
      <c r="A28" s="4" t="s">
        <v>178</v>
      </c>
      <c r="B28" s="15" t="n">
        <f aca="false">B21-B20</f>
        <v>1155</v>
      </c>
      <c r="C28" s="15" t="n">
        <f aca="false">C21-C20</f>
        <v>1155</v>
      </c>
      <c r="D28" s="15" t="n">
        <f aca="false">D21-D20</f>
        <v>1155</v>
      </c>
    </row>
    <row r="29" customFormat="false" ht="15" hidden="false" customHeight="false" outlineLevel="0" collapsed="false">
      <c r="A29" s="30" t="s">
        <v>179</v>
      </c>
      <c r="B29" s="31" t="n">
        <f aca="false">B27-B28</f>
        <v>-102</v>
      </c>
      <c r="C29" s="31" t="n">
        <f aca="false">C27-C28</f>
        <v>421.8</v>
      </c>
      <c r="D29" s="31" t="n">
        <f aca="false">D27-D28</f>
        <v>1025.25</v>
      </c>
    </row>
    <row r="30" customFormat="false" ht="15" hidden="false" customHeight="false" outlineLevel="0" collapsed="false">
      <c r="A30" s="4" t="s">
        <v>180</v>
      </c>
      <c r="B30" s="29" t="n">
        <f aca="false">IFERROR(B29/B27,0)</f>
        <v>-0.0968660968660969</v>
      </c>
      <c r="C30" s="29" t="n">
        <f aca="false">IFERROR(C29/C27,0)</f>
        <v>0.267503805175038</v>
      </c>
      <c r="D30" s="29" t="n">
        <f aca="false">IFERROR(D29/D27,0)</f>
        <v>0.470244238046096</v>
      </c>
    </row>
    <row r="32" customFormat="false" ht="15" hidden="false" customHeight="false" outlineLevel="0" collapsed="false">
      <c r="A32" s="32" t="s">
        <v>181</v>
      </c>
    </row>
    <row r="33" customFormat="false" ht="15" hidden="false" customHeight="false" outlineLevel="0" collapsed="false">
      <c r="A33" s="5" t="s">
        <v>182</v>
      </c>
    </row>
    <row r="34" customFormat="false" ht="15" hidden="false" customHeight="false" outlineLevel="0" collapsed="false">
      <c r="A34" s="5" t="s">
        <v>183</v>
      </c>
    </row>
    <row r="35" customFormat="false" ht="15" hidden="false" customHeight="false" outlineLevel="0" collapsed="false">
      <c r="A35" s="5" t="s">
        <v>184</v>
      </c>
    </row>
    <row r="36" customFormat="false" ht="15" hidden="false" customHeight="false" outlineLevel="0" collapsed="false">
      <c r="A36" s="5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3"/>
  </cols>
  <sheetData>
    <row r="1" customFormat="false" ht="22.05" hidden="false" customHeight="false" outlineLevel="0" collapsed="false">
      <c r="A1" s="2" t="s">
        <v>186</v>
      </c>
    </row>
    <row r="2" customFormat="false" ht="15" hidden="false" customHeight="false" outlineLevel="0" collapsed="false">
      <c r="A2" s="10" t="s">
        <v>187</v>
      </c>
    </row>
    <row r="4" customFormat="false" ht="15" hidden="false" customHeight="false" outlineLevel="0" collapsed="false">
      <c r="A4" s="13" t="s">
        <v>188</v>
      </c>
      <c r="B4" s="13" t="s">
        <v>189</v>
      </c>
      <c r="C4" s="13" t="s">
        <v>190</v>
      </c>
      <c r="D4" s="13" t="s">
        <v>191</v>
      </c>
      <c r="E4" s="13" t="s">
        <v>192</v>
      </c>
      <c r="F4" s="13" t="s">
        <v>193</v>
      </c>
      <c r="G4" s="13" t="s">
        <v>194</v>
      </c>
    </row>
    <row r="5" customFormat="false" ht="15" hidden="false" customHeight="false" outlineLevel="0" collapsed="false">
      <c r="A5" s="14" t="n">
        <v>27000</v>
      </c>
      <c r="B5" s="15" t="n">
        <f aca="false">PMT(0.06/12,Inputs!B16,-A5*(1-Inputs!B15))</f>
        <v>507.276627435409</v>
      </c>
      <c r="C5" s="15" t="n">
        <f aca="false">PMT(0.065/12,Inputs!B16,-A5*(1-Inputs!B15))</f>
        <v>512.24298326419</v>
      </c>
      <c r="D5" s="15" t="n">
        <f aca="false">PMT(0.075/12,Inputs!B16,-A5*(1-Inputs!B15))</f>
        <v>522.264281854995</v>
      </c>
      <c r="E5" s="15" t="n">
        <f aca="false">PMT(0.09/12,Inputs!B16,-A5*(1-Inputs!B15))</f>
        <v>537.516915276979</v>
      </c>
      <c r="F5" s="15" t="n">
        <f aca="false">PMT(0.105/12,Inputs!B16,-A5*(1-Inputs!B15))</f>
        <v>553.033002641127</v>
      </c>
      <c r="G5" s="15" t="n">
        <f aca="false">PMT(0.11/12,Inputs!B16,-A5*(1-Inputs!B15))</f>
        <v>558.263288407381</v>
      </c>
    </row>
    <row r="6" customFormat="false" ht="15" hidden="false" customHeight="false" outlineLevel="0" collapsed="false">
      <c r="A6" s="14" t="n">
        <v>30000</v>
      </c>
      <c r="B6" s="15" t="n">
        <f aca="false">PMT(0.06/12,Inputs!B16,-A6*(1-Inputs!B15))</f>
        <v>563.640697150455</v>
      </c>
      <c r="C6" s="15" t="n">
        <f aca="false">PMT(0.065/12,Inputs!B16,-A6*(1-Inputs!B15))</f>
        <v>569.158870293545</v>
      </c>
      <c r="D6" s="15" t="n">
        <f aca="false">PMT(0.075/12,Inputs!B16,-A6*(1-Inputs!B15))</f>
        <v>580.29364650555</v>
      </c>
      <c r="E6" s="15" t="n">
        <f aca="false">PMT(0.09/12,Inputs!B16,-A6*(1-Inputs!B15))</f>
        <v>597.241016974421</v>
      </c>
      <c r="F6" s="15" t="n">
        <f aca="false">PMT(0.105/12,Inputs!B16,-A6*(1-Inputs!B15))</f>
        <v>614.481114045697</v>
      </c>
      <c r="G6" s="15" t="n">
        <f aca="false">PMT(0.11/12,Inputs!B16,-A6*(1-Inputs!B15))</f>
        <v>620.292542674868</v>
      </c>
    </row>
    <row r="7" customFormat="false" ht="15" hidden="false" customHeight="false" outlineLevel="0" collapsed="false">
      <c r="A7" s="14" t="n">
        <v>32000</v>
      </c>
      <c r="B7" s="15" t="n">
        <f aca="false">PMT(0.06/12,Inputs!B16,-A7*(1-Inputs!B15))</f>
        <v>601.216743627152</v>
      </c>
      <c r="C7" s="15" t="n">
        <f aca="false">PMT(0.065/12,Inputs!B16,-A7*(1-Inputs!B15))</f>
        <v>607.102794979781</v>
      </c>
      <c r="D7" s="15" t="n">
        <f aca="false">PMT(0.075/12,Inputs!B16,-A7*(1-Inputs!B15))</f>
        <v>618.97988960592</v>
      </c>
      <c r="E7" s="15" t="n">
        <f aca="false">PMT(0.09/12,Inputs!B16,-A7*(1-Inputs!B15))</f>
        <v>637.057084772716</v>
      </c>
      <c r="F7" s="15" t="n">
        <f aca="false">PMT(0.105/12,Inputs!B16,-A7*(1-Inputs!B15))</f>
        <v>655.446521648743</v>
      </c>
      <c r="G7" s="15" t="n">
        <f aca="false">PMT(0.11/12,Inputs!B16,-A7*(1-Inputs!B15))</f>
        <v>661.645378853192</v>
      </c>
    </row>
    <row r="8" customFormat="false" ht="15" hidden="false" customHeight="false" outlineLevel="0" collapsed="false">
      <c r="A8" s="14" t="n">
        <v>35000</v>
      </c>
      <c r="B8" s="15" t="n">
        <f aca="false">PMT(0.06/12,Inputs!B16,-A8*(1-Inputs!B15))</f>
        <v>657.580813342198</v>
      </c>
      <c r="C8" s="15" t="n">
        <f aca="false">PMT(0.065/12,Inputs!B16,-A8*(1-Inputs!B15))</f>
        <v>664.018682009135</v>
      </c>
      <c r="D8" s="15" t="n">
        <f aca="false">PMT(0.075/12,Inputs!B16,-A8*(1-Inputs!B15))</f>
        <v>677.009254256474</v>
      </c>
      <c r="E8" s="15" t="n">
        <f aca="false">PMT(0.09/12,Inputs!B16,-A8*(1-Inputs!B15))</f>
        <v>696.781186470158</v>
      </c>
      <c r="F8" s="15" t="n">
        <f aca="false">PMT(0.105/12,Inputs!B16,-A8*(1-Inputs!B15))</f>
        <v>716.894633053313</v>
      </c>
      <c r="G8" s="15" t="n">
        <f aca="false">PMT(0.11/12,Inputs!B16,-A8*(1-Inputs!B15))</f>
        <v>723.674633120679</v>
      </c>
    </row>
    <row r="9" customFormat="false" ht="15" hidden="false" customHeight="false" outlineLevel="0" collapsed="false">
      <c r="A9" s="14" t="n">
        <v>38000</v>
      </c>
      <c r="B9" s="15" t="n">
        <f aca="false">PMT(0.06/12,Inputs!B16,-A9*(1-Inputs!B15))</f>
        <v>713.944883057243</v>
      </c>
      <c r="C9" s="15" t="n">
        <f aca="false">PMT(0.065/12,Inputs!B16,-A9*(1-Inputs!B15))</f>
        <v>720.93456903849</v>
      </c>
      <c r="D9" s="15" t="n">
        <f aca="false">PMT(0.075/12,Inputs!B16,-A9*(1-Inputs!B15))</f>
        <v>735.038618907029</v>
      </c>
      <c r="E9" s="15" t="n">
        <f aca="false">PMT(0.09/12,Inputs!B16,-A9*(1-Inputs!B15))</f>
        <v>756.5052881676</v>
      </c>
      <c r="F9" s="15" t="n">
        <f aca="false">PMT(0.105/12,Inputs!B16,-A9*(1-Inputs!B15))</f>
        <v>778.342744457883</v>
      </c>
      <c r="G9" s="15" t="n">
        <f aca="false">PMT(0.11/12,Inputs!B16,-A9*(1-Inputs!B15))</f>
        <v>785.703887388166</v>
      </c>
    </row>
    <row r="10" customFormat="false" ht="15" hidden="false" customHeight="false" outlineLevel="0" collapsed="false">
      <c r="A10" s="14" t="n">
        <v>41630</v>
      </c>
      <c r="B10" s="15" t="n">
        <f aca="false">PMT(0.06/12,Inputs!B16,-A10*(1-Inputs!B15))</f>
        <v>782.145407412448</v>
      </c>
      <c r="C10" s="15" t="n">
        <f aca="false">PMT(0.065/12,Inputs!B16,-A10*(1-Inputs!B15))</f>
        <v>789.802792344009</v>
      </c>
      <c r="D10" s="15" t="n">
        <f aca="false">PMT(0.075/12,Inputs!B16,-A10*(1-Inputs!B15))</f>
        <v>805.254150134201</v>
      </c>
      <c r="E10" s="15" t="n">
        <f aca="false">PMT(0.09/12,Inputs!B16,-A10*(1-Inputs!B15))</f>
        <v>828.771451221505</v>
      </c>
      <c r="F10" s="15" t="n">
        <f aca="false">PMT(0.105/12,Inputs!B16,-A10*(1-Inputs!B15))</f>
        <v>852.694959257412</v>
      </c>
      <c r="G10" s="15" t="n">
        <f aca="false">PMT(0.11/12,Inputs!B16,-A10*(1-Inputs!B15))</f>
        <v>860.759285051825</v>
      </c>
    </row>
    <row r="11" customFormat="false" ht="15" hidden="false" customHeight="false" outlineLevel="0" collapsed="false">
      <c r="A11" s="14" t="n">
        <v>48990</v>
      </c>
      <c r="B11" s="15" t="n">
        <f aca="false">PMT(0.06/12,Inputs!B16,-A11*(1-Inputs!B15))</f>
        <v>920.425258446693</v>
      </c>
      <c r="C11" s="15" t="n">
        <f aca="false">PMT(0.065/12,Inputs!B16,-A11*(1-Inputs!B15))</f>
        <v>929.436435189359</v>
      </c>
      <c r="D11" s="15" t="n">
        <f aca="false">PMT(0.075/12,Inputs!B16,-A11*(1-Inputs!B15))</f>
        <v>947.619524743563</v>
      </c>
      <c r="E11" s="15" t="n">
        <f aca="false">PMT(0.09/12,Inputs!B16,-A11*(1-Inputs!B15))</f>
        <v>975.294580719229</v>
      </c>
      <c r="F11" s="15" t="n">
        <f aca="false">PMT(0.105/12,Inputs!B16,-A11*(1-Inputs!B15))</f>
        <v>1003.44765923662</v>
      </c>
      <c r="G11" s="15" t="n">
        <f aca="false">PMT(0.11/12,Inputs!B16,-A11*(1-Inputs!B15))</f>
        <v>1012.93772218806</v>
      </c>
    </row>
    <row r="13" customFormat="false" ht="15" hidden="false" customHeight="false" outlineLevel="0" collapsed="false">
      <c r="A13" s="4" t="s">
        <v>195</v>
      </c>
      <c r="B13" s="33" t="n">
        <f aca="false">A5*Inputs!B15</f>
        <v>5400</v>
      </c>
      <c r="C13" s="33" t="n">
        <f aca="false">A6*Inputs!B15</f>
        <v>6000</v>
      </c>
      <c r="D13" s="33" t="n">
        <f aca="false">A7*Inputs!B15</f>
        <v>6400</v>
      </c>
      <c r="E13" s="33" t="n">
        <f aca="false">A8*Inputs!B15</f>
        <v>7000</v>
      </c>
      <c r="F13" s="33" t="n">
        <f aca="false">A9*Inputs!B15</f>
        <v>7600</v>
      </c>
      <c r="G13" s="33" t="n">
        <f aca="false">A10*Inputs!B15</f>
        <v>8326</v>
      </c>
      <c r="H13" s="33" t="n">
        <f aca="false">A11*Inputs!B15</f>
        <v>9798</v>
      </c>
    </row>
    <row r="15" customFormat="false" ht="15" hidden="false" customHeight="false" outlineLevel="0" collapsed="false">
      <c r="A15" s="4" t="s">
        <v>196</v>
      </c>
    </row>
    <row r="16" customFormat="false" ht="15" hidden="false" customHeight="false" outlineLevel="0" collapsed="false">
      <c r="A16" s="5" t="s">
        <v>197</v>
      </c>
    </row>
    <row r="17" customFormat="false" ht="15" hidden="false" customHeight="false" outlineLevel="0" collapsed="false">
      <c r="A17" s="5" t="s">
        <v>198</v>
      </c>
    </row>
    <row r="18" customFormat="false" ht="15" hidden="false" customHeight="false" outlineLevel="0" collapsed="false">
      <c r="A18" s="5" t="s">
        <v>199</v>
      </c>
    </row>
    <row r="19" customFormat="false" ht="15" hidden="false" customHeight="false" outlineLevel="0" collapsed="false">
      <c r="A19" s="5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14" min="2" style="0" width="11"/>
  </cols>
  <sheetData>
    <row r="1" customFormat="false" ht="22.05" hidden="false" customHeight="false" outlineLevel="0" collapsed="false">
      <c r="A1" s="2" t="s">
        <v>201</v>
      </c>
    </row>
    <row r="2" customFormat="false" ht="15" hidden="false" customHeight="false" outlineLevel="0" collapsed="false">
      <c r="A2" s="10" t="s">
        <v>202</v>
      </c>
    </row>
    <row r="4" customFormat="false" ht="15" hidden="false" customHeight="false" outlineLevel="0" collapsed="false">
      <c r="A4" s="4" t="s">
        <v>79</v>
      </c>
      <c r="B4" s="34" t="n">
        <v>6</v>
      </c>
      <c r="C4" s="10" t="s">
        <v>203</v>
      </c>
    </row>
    <row r="5" customFormat="false" ht="15" hidden="false" customHeight="false" outlineLevel="0" collapsed="false">
      <c r="A5" s="4" t="s">
        <v>204</v>
      </c>
      <c r="B5" s="22" t="n">
        <f aca="false">B4-Inputs!B44</f>
        <v>4</v>
      </c>
    </row>
    <row r="7" customFormat="false" ht="15" hidden="false" customHeight="false" outlineLevel="0" collapsed="false">
      <c r="A7" s="13" t="s">
        <v>205</v>
      </c>
      <c r="B7" s="13" t="s">
        <v>206</v>
      </c>
      <c r="C7" s="13" t="s">
        <v>207</v>
      </c>
      <c r="D7" s="13" t="s">
        <v>208</v>
      </c>
      <c r="E7" s="13" t="s">
        <v>209</v>
      </c>
      <c r="F7" s="13" t="s">
        <v>210</v>
      </c>
      <c r="G7" s="13" t="s">
        <v>211</v>
      </c>
      <c r="H7" s="13" t="s">
        <v>212</v>
      </c>
      <c r="I7" s="13" t="s">
        <v>213</v>
      </c>
      <c r="J7" s="13" t="s">
        <v>214</v>
      </c>
      <c r="K7" s="13" t="s">
        <v>215</v>
      </c>
      <c r="L7" s="13" t="s">
        <v>216</v>
      </c>
      <c r="M7" s="13" t="s">
        <v>217</v>
      </c>
      <c r="N7" s="13" t="s">
        <v>218</v>
      </c>
    </row>
    <row r="8" customFormat="false" ht="15" hidden="false" customHeight="false" outlineLevel="0" collapsed="false">
      <c r="A8" s="4" t="s">
        <v>219</v>
      </c>
      <c r="B8" s="16" t="n">
        <v>0.4</v>
      </c>
      <c r="C8" s="16" t="n">
        <v>0.5</v>
      </c>
      <c r="D8" s="16" t="n">
        <v>0.6</v>
      </c>
      <c r="E8" s="16" t="n">
        <v>0.65</v>
      </c>
      <c r="F8" s="16" t="n">
        <v>0.7</v>
      </c>
      <c r="G8" s="16" t="n">
        <v>0.73</v>
      </c>
      <c r="H8" s="16" t="n">
        <v>0.73</v>
      </c>
      <c r="I8" s="16" t="n">
        <v>0.73</v>
      </c>
      <c r="J8" s="16" t="n">
        <v>0.73</v>
      </c>
      <c r="K8" s="16" t="n">
        <v>0.73</v>
      </c>
      <c r="L8" s="16" t="n">
        <v>0.73</v>
      </c>
      <c r="M8" s="16" t="n">
        <v>0.73</v>
      </c>
    </row>
    <row r="9" customFormat="false" ht="15" hidden="false" customHeight="false" outlineLevel="0" collapsed="false">
      <c r="A9" s="4" t="s">
        <v>220</v>
      </c>
      <c r="B9" s="23" t="n">
        <f aca="false">Inputs!B25</f>
        <v>80</v>
      </c>
      <c r="C9" s="23" t="n">
        <f aca="false">Inputs!B25</f>
        <v>80</v>
      </c>
      <c r="D9" s="23" t="n">
        <f aca="false">Inputs!B25</f>
        <v>80</v>
      </c>
      <c r="E9" s="23" t="n">
        <f aca="false">Inputs!B25</f>
        <v>80</v>
      </c>
      <c r="F9" s="23" t="n">
        <f aca="false">Inputs!B25</f>
        <v>80</v>
      </c>
      <c r="G9" s="23" t="n">
        <f aca="false">Inputs!B25</f>
        <v>80</v>
      </c>
      <c r="H9" s="23" t="n">
        <f aca="false">Inputs!B25</f>
        <v>80</v>
      </c>
      <c r="I9" s="23" t="n">
        <f aca="false">Inputs!B25</f>
        <v>80</v>
      </c>
      <c r="J9" s="23" t="n">
        <f aca="false">Inputs!B25</f>
        <v>80</v>
      </c>
      <c r="K9" s="23" t="n">
        <f aca="false">Inputs!B25</f>
        <v>80</v>
      </c>
      <c r="L9" s="23" t="n">
        <f aca="false">Inputs!B25</f>
        <v>80</v>
      </c>
      <c r="M9" s="23" t="n">
        <f aca="false">Inputs!B25</f>
        <v>80</v>
      </c>
    </row>
    <row r="10" customFormat="false" ht="15" hidden="false" customHeight="false" outlineLevel="0" collapsed="false">
      <c r="A10" s="4" t="s">
        <v>221</v>
      </c>
      <c r="B10" s="15" t="n">
        <f aca="false">B8*B9*30*(1-Inputs!B28)</f>
        <v>864</v>
      </c>
      <c r="C10" s="15" t="n">
        <f aca="false">C8*C9*30*(1-Inputs!B28)</f>
        <v>1080</v>
      </c>
      <c r="D10" s="15" t="n">
        <f aca="false">D8*D9*30*(1-Inputs!B28)</f>
        <v>1296</v>
      </c>
      <c r="E10" s="15" t="n">
        <f aca="false">E8*E9*30*(1-Inputs!B28)</f>
        <v>1404</v>
      </c>
      <c r="F10" s="15" t="n">
        <f aca="false">F8*F9*30*(1-Inputs!B28)</f>
        <v>1512</v>
      </c>
      <c r="G10" s="15" t="n">
        <f aca="false">G8*G9*30*(1-Inputs!B28)</f>
        <v>1576.8</v>
      </c>
      <c r="H10" s="15" t="n">
        <f aca="false">H8*H9*30*(1-Inputs!B28)</f>
        <v>1576.8</v>
      </c>
      <c r="I10" s="15" t="n">
        <f aca="false">I8*I9*30*(1-Inputs!B28)</f>
        <v>1576.8</v>
      </c>
      <c r="J10" s="15" t="n">
        <f aca="false">J8*J9*30*(1-Inputs!B28)</f>
        <v>1576.8</v>
      </c>
      <c r="K10" s="15" t="n">
        <f aca="false">K8*K9*30*(1-Inputs!B28)</f>
        <v>1576.8</v>
      </c>
      <c r="L10" s="15" t="n">
        <f aca="false">L8*L9*30*(1-Inputs!B28)</f>
        <v>1576.8</v>
      </c>
      <c r="M10" s="15" t="n">
        <f aca="false">M8*M9*30*(1-Inputs!B28)</f>
        <v>1576.8</v>
      </c>
    </row>
    <row r="11" customFormat="false" ht="15" hidden="false" customHeight="false" outlineLevel="0" collapsed="false">
      <c r="A11" s="4" t="s">
        <v>222</v>
      </c>
      <c r="B11" s="15" t="n">
        <f aca="false">B10*$B$4</f>
        <v>5184</v>
      </c>
      <c r="C11" s="15" t="n">
        <f aca="false">C10*$B$4</f>
        <v>6480</v>
      </c>
      <c r="D11" s="15" t="n">
        <f aca="false">D10*$B$4</f>
        <v>7776</v>
      </c>
      <c r="E11" s="15" t="n">
        <f aca="false">E10*$B$4</f>
        <v>8424</v>
      </c>
      <c r="F11" s="15" t="n">
        <f aca="false">F10*$B$4</f>
        <v>9072</v>
      </c>
      <c r="G11" s="15" t="n">
        <f aca="false">G10*$B$4</f>
        <v>9460.8</v>
      </c>
      <c r="H11" s="15" t="n">
        <f aca="false">H10*$B$4</f>
        <v>9460.8</v>
      </c>
      <c r="I11" s="15" t="n">
        <f aca="false">I10*$B$4</f>
        <v>9460.8</v>
      </c>
      <c r="J11" s="15" t="n">
        <f aca="false">J10*$B$4</f>
        <v>9460.8</v>
      </c>
      <c r="K11" s="15" t="n">
        <f aca="false">K10*$B$4</f>
        <v>9460.8</v>
      </c>
      <c r="L11" s="15" t="n">
        <f aca="false">L10*$B$4</f>
        <v>9460.8</v>
      </c>
      <c r="M11" s="15" t="n">
        <f aca="false">M10*$B$4</f>
        <v>9460.8</v>
      </c>
    </row>
    <row r="13" customFormat="false" ht="15" hidden="false" customHeight="false" outlineLevel="0" collapsed="false">
      <c r="A13" s="4" t="s">
        <v>223</v>
      </c>
      <c r="B13" s="15" t="n">
        <f aca="false">-$B$4*Inputs!B39</f>
        <v>-6930</v>
      </c>
      <c r="C13" s="15" t="n">
        <f aca="false">-$B$4*Inputs!B39</f>
        <v>-6930</v>
      </c>
      <c r="D13" s="15" t="n">
        <f aca="false">-$B$4*Inputs!B39</f>
        <v>-6930</v>
      </c>
      <c r="E13" s="15" t="n">
        <f aca="false">-$B$4*Inputs!B39</f>
        <v>-6930</v>
      </c>
      <c r="F13" s="15" t="n">
        <f aca="false">-$B$4*Inputs!B39</f>
        <v>-6930</v>
      </c>
      <c r="G13" s="15" t="n">
        <f aca="false">-$B$4*Inputs!B39</f>
        <v>-6930</v>
      </c>
      <c r="H13" s="15" t="n">
        <f aca="false">-$B$4*Inputs!B39</f>
        <v>-6930</v>
      </c>
      <c r="I13" s="15" t="n">
        <f aca="false">-$B$4*Inputs!B39</f>
        <v>-6930</v>
      </c>
      <c r="J13" s="15" t="n">
        <f aca="false">-$B$4*Inputs!B39</f>
        <v>-6930</v>
      </c>
      <c r="K13" s="15" t="n">
        <f aca="false">-$B$4*Inputs!B39</f>
        <v>-6930</v>
      </c>
      <c r="L13" s="15" t="n">
        <f aca="false">-$B$4*Inputs!B39</f>
        <v>-6930</v>
      </c>
      <c r="M13" s="15" t="n">
        <f aca="false">-$B$4*Inputs!B39</f>
        <v>-6930</v>
      </c>
    </row>
    <row r="14" customFormat="false" ht="15" hidden="false" customHeight="false" outlineLevel="0" collapsed="false">
      <c r="A14" s="4" t="s">
        <v>224</v>
      </c>
      <c r="B14" s="15" t="n">
        <f aca="false">-$B$5*PMT(Inputs!B20/12,Inputs!B16,-Inputs!B11*(1-Inputs!B15))</f>
        <v>-2428.78013569598</v>
      </c>
      <c r="C14" s="15" t="n">
        <f aca="false">-$B$5*PMT(Inputs!B20/12,Inputs!B16,-Inputs!B11*(1-Inputs!B15))</f>
        <v>-2428.78013569598</v>
      </c>
      <c r="D14" s="15" t="n">
        <f aca="false">-$B$5*PMT(Inputs!B20/12,Inputs!B16,-Inputs!B11*(1-Inputs!B15))</f>
        <v>-2428.78013569598</v>
      </c>
      <c r="E14" s="15" t="n">
        <f aca="false">-$B$5*PMT(Inputs!B20/12,Inputs!B16,-Inputs!B11*(1-Inputs!B15))</f>
        <v>-2428.78013569598</v>
      </c>
      <c r="F14" s="15" t="n">
        <f aca="false">-$B$5*PMT(Inputs!B20/12,Inputs!B16,-Inputs!B11*(1-Inputs!B15))</f>
        <v>-2428.78013569598</v>
      </c>
      <c r="G14" s="15" t="n">
        <f aca="false">-$B$5*PMT(Inputs!B20/12,Inputs!B16,-Inputs!B11*(1-Inputs!B15))</f>
        <v>-2428.78013569598</v>
      </c>
      <c r="H14" s="15" t="n">
        <f aca="false">-$B$5*PMT(Inputs!B20/12,Inputs!B16,-Inputs!B11*(1-Inputs!B15))</f>
        <v>-2428.78013569598</v>
      </c>
      <c r="I14" s="15" t="n">
        <f aca="false">-$B$5*PMT(Inputs!B20/12,Inputs!B16,-Inputs!B11*(1-Inputs!B15))</f>
        <v>-2428.78013569598</v>
      </c>
      <c r="J14" s="15" t="n">
        <f aca="false">-$B$5*PMT(Inputs!B20/12,Inputs!B16,-Inputs!B11*(1-Inputs!B15))</f>
        <v>-2428.78013569598</v>
      </c>
      <c r="K14" s="15" t="n">
        <f aca="false">-$B$5*PMT(Inputs!B20/12,Inputs!B16,-Inputs!B11*(1-Inputs!B15))</f>
        <v>-2428.78013569598</v>
      </c>
      <c r="L14" s="15" t="n">
        <f aca="false">-$B$5*PMT(Inputs!B20/12,Inputs!B16,-Inputs!B11*(1-Inputs!B15))</f>
        <v>-2428.78013569598</v>
      </c>
      <c r="M14" s="15" t="n">
        <f aca="false">-$B$5*PMT(Inputs!B20/12,Inputs!B16,-Inputs!B11*(1-Inputs!B15))</f>
        <v>-2428.78013569598</v>
      </c>
    </row>
    <row r="15" customFormat="false" ht="15" hidden="false" customHeight="false" outlineLevel="0" collapsed="false">
      <c r="A15" s="24" t="s">
        <v>225</v>
      </c>
      <c r="B15" s="25" t="n">
        <f aca="false">SUM(B11+B13+B14)</f>
        <v>-4174.78013569598</v>
      </c>
      <c r="C15" s="25" t="n">
        <f aca="false">SUM(C11+C13+C14)</f>
        <v>-2878.78013569598</v>
      </c>
      <c r="D15" s="25" t="n">
        <f aca="false">SUM(D11+D13+D14)</f>
        <v>-1582.78013569598</v>
      </c>
      <c r="E15" s="25" t="n">
        <f aca="false">SUM(E11+E13+E14)</f>
        <v>-934.780135695979</v>
      </c>
      <c r="F15" s="25" t="n">
        <f aca="false">SUM(F11+F13+F14)</f>
        <v>-286.780135695979</v>
      </c>
      <c r="G15" s="25" t="n">
        <f aca="false">SUM(G11+G13+G14)</f>
        <v>102.01986430402</v>
      </c>
      <c r="H15" s="25" t="n">
        <f aca="false">SUM(H11+H13+H14)</f>
        <v>102.01986430402</v>
      </c>
      <c r="I15" s="25" t="n">
        <f aca="false">SUM(I11+I13+I14)</f>
        <v>102.01986430402</v>
      </c>
      <c r="J15" s="25" t="n">
        <f aca="false">SUM(J11+J13+J14)</f>
        <v>102.01986430402</v>
      </c>
      <c r="K15" s="25" t="n">
        <f aca="false">SUM(K11+K13+K14)</f>
        <v>102.01986430402</v>
      </c>
      <c r="L15" s="25" t="n">
        <f aca="false">SUM(L11+L13+L14)</f>
        <v>102.01986430402</v>
      </c>
      <c r="M15" s="25" t="n">
        <f aca="false">SUM(M11+M13+M14)</f>
        <v>102.01986430402</v>
      </c>
      <c r="N15" s="25" t="n">
        <f aca="false">SUM(B15:M15)</f>
        <v>-9143.76162835175</v>
      </c>
    </row>
    <row r="16" customFormat="false" ht="15" hidden="false" customHeight="false" outlineLevel="0" collapsed="false">
      <c r="A16" s="4" t="s">
        <v>226</v>
      </c>
      <c r="B16" s="15" t="n">
        <f aca="false">B15</f>
        <v>-4174.78013569598</v>
      </c>
      <c r="C16" s="15" t="n">
        <f aca="false">B16+C15</f>
        <v>-7053.56027139196</v>
      </c>
      <c r="D16" s="15" t="n">
        <f aca="false">C16+D15</f>
        <v>-8636.34040708794</v>
      </c>
      <c r="E16" s="15" t="n">
        <f aca="false">D16+E15</f>
        <v>-9571.12054278392</v>
      </c>
      <c r="F16" s="15" t="n">
        <f aca="false">E16+F15</f>
        <v>-9857.9006784799</v>
      </c>
      <c r="G16" s="15" t="n">
        <f aca="false">F16+G15</f>
        <v>-9755.88081417588</v>
      </c>
      <c r="H16" s="15" t="n">
        <f aca="false">G16+H15</f>
        <v>-9653.86094987185</v>
      </c>
      <c r="I16" s="15" t="n">
        <f aca="false">H16+I15</f>
        <v>-9551.84108556783</v>
      </c>
      <c r="J16" s="15" t="n">
        <f aca="false">I16+J15</f>
        <v>-9449.82122126381</v>
      </c>
      <c r="K16" s="15" t="n">
        <f aca="false">J16+K15</f>
        <v>-9347.80135695979</v>
      </c>
      <c r="L16" s="15" t="n">
        <f aca="false">K16+L15</f>
        <v>-9245.78149265577</v>
      </c>
      <c r="M16" s="15" t="n">
        <f aca="false">L16+M15</f>
        <v>-9143.76162835175</v>
      </c>
    </row>
    <row r="18" customFormat="false" ht="15" hidden="false" customHeight="false" outlineLevel="0" collapsed="false">
      <c r="A18" s="4" t="s">
        <v>227</v>
      </c>
      <c r="B18" s="5" t="str">
        <f aca="false">IFERROR(MATCH(TRUE(),INDEX(B16:M16&gt;0,0),0),"Not within 12 months")</f>
        <v>Not within 12 months</v>
      </c>
    </row>
    <row r="20" customFormat="false" ht="15" hidden="false" customHeight="false" outlineLevel="0" collapsed="false">
      <c r="A20" s="10" t="s">
        <v>228</v>
      </c>
    </row>
    <row r="21" customFormat="false" ht="15" hidden="false" customHeight="false" outlineLevel="0" collapsed="false">
      <c r="A21" s="10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1"/>
  </cols>
  <sheetData>
    <row r="1" customFormat="false" ht="22.05" hidden="false" customHeight="false" outlineLevel="0" collapsed="false">
      <c r="A1" s="2" t="s">
        <v>230</v>
      </c>
    </row>
    <row r="2" customFormat="false" ht="15" hidden="false" customHeight="false" outlineLevel="0" collapsed="false">
      <c r="A2" s="10" t="s">
        <v>231</v>
      </c>
    </row>
    <row r="4" customFormat="false" ht="15" hidden="false" customHeight="false" outlineLevel="0" collapsed="false">
      <c r="A4" s="4" t="s">
        <v>232</v>
      </c>
      <c r="B4" s="15" t="n">
        <f aca="false">Inputs!B39+PMT(Inputs!B20/12,Inputs!B16,-Inputs!B11*(1-Inputs!B15))</f>
        <v>1762.19503392399</v>
      </c>
    </row>
    <row r="5" customFormat="false" ht="15" hidden="false" customHeight="false" outlineLevel="0" collapsed="false">
      <c r="A5" s="4" t="s">
        <v>233</v>
      </c>
      <c r="B5" s="23" t="n">
        <f aca="false">B4</f>
        <v>1762.19503392399</v>
      </c>
    </row>
    <row r="6" customFormat="false" ht="15" hidden="false" customHeight="false" outlineLevel="0" collapsed="false">
      <c r="A6" s="4" t="s">
        <v>234</v>
      </c>
      <c r="B6" s="15" t="n">
        <f aca="false">B5/(1-Inputs!B28)</f>
        <v>1957.99448213777</v>
      </c>
    </row>
    <row r="8" customFormat="false" ht="16.15" hidden="false" customHeight="false" outlineLevel="0" collapsed="false">
      <c r="A8" s="11" t="s">
        <v>235</v>
      </c>
    </row>
    <row r="10" customFormat="false" ht="15" hidden="false" customHeight="false" outlineLevel="0" collapsed="false">
      <c r="A10" s="35" t="s">
        <v>236</v>
      </c>
      <c r="B10" s="36" t="n">
        <v>0.55</v>
      </c>
      <c r="C10" s="36" t="n">
        <v>0.6</v>
      </c>
      <c r="D10" s="36" t="n">
        <v>0.65</v>
      </c>
      <c r="E10" s="36" t="n">
        <v>0.7</v>
      </c>
      <c r="F10" s="36" t="n">
        <v>0.75</v>
      </c>
      <c r="G10" s="36" t="n">
        <v>0.8</v>
      </c>
      <c r="H10" s="36" t="n">
        <v>0.85</v>
      </c>
      <c r="I10" s="36" t="n">
        <v>0.9</v>
      </c>
    </row>
    <row r="11" customFormat="false" ht="15" hidden="false" customHeight="false" outlineLevel="0" collapsed="false">
      <c r="A11" s="14" t="n">
        <v>60</v>
      </c>
      <c r="B11" s="15" t="n">
        <f aca="false">A11*0.55*30*(1-Inputs!B28)-$B$4</f>
        <v>-871.195033923995</v>
      </c>
      <c r="C11" s="15" t="n">
        <f aca="false">A11*0.6*30*(1-Inputs!B28)-$B$4</f>
        <v>-790.195033923995</v>
      </c>
      <c r="D11" s="15" t="n">
        <f aca="false">A11*0.65*30*(1-Inputs!B28)-$B$4</f>
        <v>-709.195033923995</v>
      </c>
      <c r="E11" s="15" t="n">
        <f aca="false">A11*0.7*30*(1-Inputs!B28)-$B$4</f>
        <v>-628.195033923995</v>
      </c>
      <c r="F11" s="15" t="n">
        <f aca="false">A11*0.75*30*(1-Inputs!B28)-$B$4</f>
        <v>-547.195033923995</v>
      </c>
      <c r="G11" s="15" t="n">
        <f aca="false">A11*0.8*30*(1-Inputs!B28)-$B$4</f>
        <v>-466.195033923995</v>
      </c>
      <c r="H11" s="15" t="n">
        <f aca="false">A11*0.85*30*(1-Inputs!B28)-$B$4</f>
        <v>-385.195033923995</v>
      </c>
      <c r="I11" s="15" t="n">
        <f aca="false">A11*0.9*30*(1-Inputs!B28)-$B$4</f>
        <v>-304.195033923995</v>
      </c>
    </row>
    <row r="12" customFormat="false" ht="15" hidden="false" customHeight="false" outlineLevel="0" collapsed="false">
      <c r="A12" s="14" t="n">
        <v>70</v>
      </c>
      <c r="B12" s="15" t="n">
        <f aca="false">A12*0.55*30*(1-Inputs!B28)-$B$4</f>
        <v>-722.695033923995</v>
      </c>
      <c r="C12" s="15" t="n">
        <f aca="false">A12*0.6*30*(1-Inputs!B28)-$B$4</f>
        <v>-628.195033923995</v>
      </c>
      <c r="D12" s="15" t="n">
        <f aca="false">A12*0.65*30*(1-Inputs!B28)-$B$4</f>
        <v>-533.695033923995</v>
      </c>
      <c r="E12" s="15" t="n">
        <f aca="false">A12*0.7*30*(1-Inputs!B28)-$B$4</f>
        <v>-439.195033923995</v>
      </c>
      <c r="F12" s="15" t="n">
        <f aca="false">A12*0.75*30*(1-Inputs!B28)-$B$4</f>
        <v>-344.695033923995</v>
      </c>
      <c r="G12" s="15" t="n">
        <f aca="false">A12*0.8*30*(1-Inputs!B28)-$B$4</f>
        <v>-250.195033923995</v>
      </c>
      <c r="H12" s="15" t="n">
        <f aca="false">A12*0.85*30*(1-Inputs!B28)-$B$4</f>
        <v>-155.695033923995</v>
      </c>
      <c r="I12" s="15" t="n">
        <f aca="false">A12*0.9*30*(1-Inputs!B28)-$B$4</f>
        <v>-61.1950339239947</v>
      </c>
    </row>
    <row r="13" customFormat="false" ht="15" hidden="false" customHeight="false" outlineLevel="0" collapsed="false">
      <c r="A13" s="14" t="n">
        <v>80</v>
      </c>
      <c r="B13" s="15" t="n">
        <f aca="false">A13*0.55*30*(1-Inputs!B28)-$B$4</f>
        <v>-574.195033923995</v>
      </c>
      <c r="C13" s="15" t="n">
        <f aca="false">A13*0.6*30*(1-Inputs!B28)-$B$4</f>
        <v>-466.195033923995</v>
      </c>
      <c r="D13" s="15" t="n">
        <f aca="false">A13*0.65*30*(1-Inputs!B28)-$B$4</f>
        <v>-358.195033923995</v>
      </c>
      <c r="E13" s="15" t="n">
        <f aca="false">A13*0.7*30*(1-Inputs!B28)-$B$4</f>
        <v>-250.195033923995</v>
      </c>
      <c r="F13" s="15" t="n">
        <f aca="false">A13*0.75*30*(1-Inputs!B28)-$B$4</f>
        <v>-142.195033923995</v>
      </c>
      <c r="G13" s="15" t="n">
        <f aca="false">A13*0.8*30*(1-Inputs!B28)-$B$4</f>
        <v>-34.1950339239947</v>
      </c>
      <c r="H13" s="15" t="n">
        <f aca="false">A13*0.85*30*(1-Inputs!B28)-$B$4</f>
        <v>73.8049660760053</v>
      </c>
      <c r="I13" s="15" t="n">
        <f aca="false">A13*0.9*30*(1-Inputs!B28)-$B$4</f>
        <v>181.804966076005</v>
      </c>
    </row>
    <row r="14" customFormat="false" ht="15" hidden="false" customHeight="false" outlineLevel="0" collapsed="false">
      <c r="A14" s="14" t="n">
        <v>90</v>
      </c>
      <c r="B14" s="15" t="n">
        <f aca="false">A14*0.55*30*(1-Inputs!B28)-$B$4</f>
        <v>-425.695033923995</v>
      </c>
      <c r="C14" s="15" t="n">
        <f aca="false">A14*0.6*30*(1-Inputs!B28)-$B$4</f>
        <v>-304.195033923995</v>
      </c>
      <c r="D14" s="15" t="n">
        <f aca="false">A14*0.65*30*(1-Inputs!B28)-$B$4</f>
        <v>-182.695033923995</v>
      </c>
      <c r="E14" s="15" t="n">
        <f aca="false">A14*0.7*30*(1-Inputs!B28)-$B$4</f>
        <v>-61.195033923995</v>
      </c>
      <c r="F14" s="15" t="n">
        <f aca="false">A14*0.75*30*(1-Inputs!B28)-$B$4</f>
        <v>60.3049660760053</v>
      </c>
      <c r="G14" s="15" t="n">
        <f aca="false">A14*0.8*30*(1-Inputs!B28)-$B$4</f>
        <v>181.804966076005</v>
      </c>
      <c r="H14" s="15" t="n">
        <f aca="false">A14*0.85*30*(1-Inputs!B28)-$B$4</f>
        <v>303.304966076005</v>
      </c>
      <c r="I14" s="15" t="n">
        <f aca="false">A14*0.9*30*(1-Inputs!B28)-$B$4</f>
        <v>424.804966076005</v>
      </c>
    </row>
    <row r="15" customFormat="false" ht="15" hidden="false" customHeight="false" outlineLevel="0" collapsed="false">
      <c r="A15" s="14" t="n">
        <v>100</v>
      </c>
      <c r="B15" s="15" t="n">
        <f aca="false">A15*0.55*30*(1-Inputs!B28)-$B$4</f>
        <v>-277.195033923995</v>
      </c>
      <c r="C15" s="15" t="n">
        <f aca="false">A15*0.6*30*(1-Inputs!B28)-$B$4</f>
        <v>-142.195033923995</v>
      </c>
      <c r="D15" s="15" t="n">
        <f aca="false">A15*0.65*30*(1-Inputs!B28)-$B$4</f>
        <v>-7.19503392399474</v>
      </c>
      <c r="E15" s="15" t="n">
        <f aca="false">A15*0.7*30*(1-Inputs!B28)-$B$4</f>
        <v>127.804966076005</v>
      </c>
      <c r="F15" s="15" t="n">
        <f aca="false">A15*0.75*30*(1-Inputs!B28)-$B$4</f>
        <v>262.804966076005</v>
      </c>
      <c r="G15" s="15" t="n">
        <f aca="false">A15*0.8*30*(1-Inputs!B28)-$B$4</f>
        <v>397.804966076005</v>
      </c>
      <c r="H15" s="15" t="n">
        <f aca="false">A15*0.85*30*(1-Inputs!B28)-$B$4</f>
        <v>532.804966076005</v>
      </c>
      <c r="I15" s="15" t="n">
        <f aca="false">A15*0.9*30*(1-Inputs!B28)-$B$4</f>
        <v>667.804966076005</v>
      </c>
    </row>
    <row r="16" customFormat="false" ht="15" hidden="false" customHeight="false" outlineLevel="0" collapsed="false">
      <c r="A16" s="14" t="n">
        <v>110</v>
      </c>
      <c r="B16" s="15" t="n">
        <f aca="false">A16*0.55*30*(1-Inputs!B28)-$B$4</f>
        <v>-128.695033923995</v>
      </c>
      <c r="C16" s="15" t="n">
        <f aca="false">A16*0.6*30*(1-Inputs!B28)-$B$4</f>
        <v>19.8049660760053</v>
      </c>
      <c r="D16" s="15" t="n">
        <f aca="false">A16*0.65*30*(1-Inputs!B28)-$B$4</f>
        <v>168.304966076005</v>
      </c>
      <c r="E16" s="15" t="n">
        <f aca="false">A16*0.7*30*(1-Inputs!B28)-$B$4</f>
        <v>316.804966076005</v>
      </c>
      <c r="F16" s="15" t="n">
        <f aca="false">A16*0.75*30*(1-Inputs!B28)-$B$4</f>
        <v>465.304966076005</v>
      </c>
      <c r="G16" s="15" t="n">
        <f aca="false">A16*0.8*30*(1-Inputs!B28)-$B$4</f>
        <v>613.804966076005</v>
      </c>
      <c r="H16" s="15" t="n">
        <f aca="false">A16*0.85*30*(1-Inputs!B28)-$B$4</f>
        <v>762.304966076005</v>
      </c>
      <c r="I16" s="15" t="n">
        <f aca="false">A16*0.9*30*(1-Inputs!B28)-$B$4</f>
        <v>910.804966076005</v>
      </c>
    </row>
    <row r="17" customFormat="false" ht="15" hidden="false" customHeight="false" outlineLevel="0" collapsed="false">
      <c r="A17" s="14" t="n">
        <v>120</v>
      </c>
      <c r="B17" s="15" t="n">
        <f aca="false">A17*0.55*30*(1-Inputs!B28)-$B$4</f>
        <v>19.8049660760053</v>
      </c>
      <c r="C17" s="15" t="n">
        <f aca="false">A17*0.6*30*(1-Inputs!B28)-$B$4</f>
        <v>181.804966076005</v>
      </c>
      <c r="D17" s="15" t="n">
        <f aca="false">A17*0.65*30*(1-Inputs!B28)-$B$4</f>
        <v>343.804966076005</v>
      </c>
      <c r="E17" s="15" t="n">
        <f aca="false">A17*0.7*30*(1-Inputs!B28)-$B$4</f>
        <v>505.804966076005</v>
      </c>
      <c r="F17" s="15" t="n">
        <f aca="false">A17*0.75*30*(1-Inputs!B28)-$B$4</f>
        <v>667.804966076005</v>
      </c>
      <c r="G17" s="15" t="n">
        <f aca="false">A17*0.8*30*(1-Inputs!B28)-$B$4</f>
        <v>829.804966076005</v>
      </c>
      <c r="H17" s="15" t="n">
        <f aca="false">A17*0.85*30*(1-Inputs!B28)-$B$4</f>
        <v>991.804966076005</v>
      </c>
      <c r="I17" s="15" t="n">
        <f aca="false">A17*0.9*30*(1-Inputs!B28)-$B$4</f>
        <v>1153.80496607601</v>
      </c>
    </row>
    <row r="20" customFormat="false" ht="15" hidden="false" customHeight="false" outlineLevel="0" collapsed="false">
      <c r="A20" s="4" t="s">
        <v>196</v>
      </c>
    </row>
    <row r="21" customFormat="false" ht="15" hidden="false" customHeight="false" outlineLevel="0" collapsed="false">
      <c r="A21" s="5" t="s">
        <v>237</v>
      </c>
    </row>
    <row r="22" customFormat="false" ht="15" hidden="false" customHeight="false" outlineLevel="0" collapsed="false">
      <c r="A22" s="5" t="s">
        <v>238</v>
      </c>
    </row>
    <row r="23" customFormat="false" ht="15" hidden="false" customHeight="false" outlineLevel="0" collapsed="false">
      <c r="A23" s="5" t="s">
        <v>239</v>
      </c>
    </row>
  </sheetData>
  <conditionalFormatting sqref="B11:I17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4" min="3" style="0" width="18"/>
  </cols>
  <sheetData>
    <row r="1" customFormat="false" ht="22.05" hidden="false" customHeight="false" outlineLevel="0" collapsed="false">
      <c r="A1" s="2" t="s">
        <v>240</v>
      </c>
    </row>
    <row r="2" customFormat="false" ht="15" hidden="false" customHeight="false" outlineLevel="0" collapsed="false">
      <c r="A2" s="10" t="s">
        <v>241</v>
      </c>
    </row>
    <row r="4" customFormat="false" ht="15" hidden="false" customHeight="false" outlineLevel="0" collapsed="false">
      <c r="A4" s="13" t="s">
        <v>242</v>
      </c>
      <c r="B4" s="13" t="s">
        <v>243</v>
      </c>
      <c r="C4" s="13" t="s">
        <v>51</v>
      </c>
    </row>
    <row r="5" customFormat="false" ht="15" hidden="false" customHeight="false" outlineLevel="0" collapsed="false">
      <c r="A5" s="5" t="s">
        <v>244</v>
      </c>
      <c r="B5" s="37" t="n">
        <v>0.225</v>
      </c>
      <c r="C5" s="10" t="s">
        <v>245</v>
      </c>
    </row>
    <row r="6" customFormat="false" ht="15" hidden="false" customHeight="false" outlineLevel="0" collapsed="false">
      <c r="A6" s="5" t="s">
        <v>246</v>
      </c>
      <c r="B6" s="37" t="n">
        <v>0.34</v>
      </c>
      <c r="C6" s="10" t="s">
        <v>247</v>
      </c>
    </row>
    <row r="7" customFormat="false" ht="15" hidden="false" customHeight="false" outlineLevel="0" collapsed="false">
      <c r="A7" s="5" t="s">
        <v>248</v>
      </c>
      <c r="B7" s="37" t="n">
        <v>0.45</v>
      </c>
      <c r="C7" s="10" t="s">
        <v>249</v>
      </c>
    </row>
    <row r="8" customFormat="false" ht="15" hidden="false" customHeight="false" outlineLevel="0" collapsed="false">
      <c r="A8" s="5" t="s">
        <v>250</v>
      </c>
      <c r="B8" s="37" t="n">
        <v>0.63</v>
      </c>
      <c r="C8" s="10" t="s">
        <v>251</v>
      </c>
    </row>
    <row r="9" customFormat="false" ht="15" hidden="false" customHeight="false" outlineLevel="0" collapsed="false">
      <c r="A9" s="5" t="s">
        <v>252</v>
      </c>
      <c r="B9" s="37" t="n">
        <v>0.64</v>
      </c>
      <c r="C9" s="10" t="s">
        <v>253</v>
      </c>
    </row>
    <row r="12" customFormat="false" ht="16.15" hidden="false" customHeight="false" outlineLevel="0" collapsed="false">
      <c r="A12" s="11" t="s">
        <v>254</v>
      </c>
    </row>
    <row r="14" customFormat="false" ht="15" hidden="false" customHeight="false" outlineLevel="0" collapsed="false">
      <c r="A14" s="4" t="s">
        <v>255</v>
      </c>
      <c r="B14" s="34" t="n">
        <v>800</v>
      </c>
      <c r="C14" s="10" t="s">
        <v>256</v>
      </c>
    </row>
    <row r="16" customFormat="false" ht="15" hidden="false" customHeight="false" outlineLevel="0" collapsed="false">
      <c r="A16" s="4" t="s">
        <v>257</v>
      </c>
      <c r="B16" s="16" t="n">
        <v>0.3</v>
      </c>
      <c r="C16" s="10" t="s">
        <v>258</v>
      </c>
    </row>
    <row r="17" customFormat="false" ht="15" hidden="false" customHeight="false" outlineLevel="0" collapsed="false">
      <c r="A17" s="4" t="s">
        <v>259</v>
      </c>
      <c r="B17" s="38" t="n">
        <f aca="false">1-B16</f>
        <v>0.7</v>
      </c>
    </row>
    <row r="19" customFormat="false" ht="15" hidden="false" customHeight="false" outlineLevel="0" collapsed="false">
      <c r="A19" s="4" t="s">
        <v>260</v>
      </c>
      <c r="B19" s="15" t="n">
        <f aca="false">B14*B16*B5</f>
        <v>54</v>
      </c>
    </row>
    <row r="20" customFormat="false" ht="15" hidden="false" customHeight="false" outlineLevel="0" collapsed="false">
      <c r="A20" s="4" t="s">
        <v>261</v>
      </c>
      <c r="B20" s="15" t="n">
        <f aca="false">B14*B17*B7</f>
        <v>252</v>
      </c>
    </row>
    <row r="21" customFormat="false" ht="15" hidden="false" customHeight="false" outlineLevel="0" collapsed="false">
      <c r="A21" s="24" t="s">
        <v>262</v>
      </c>
      <c r="B21" s="25" t="n">
        <f aca="false">B19+B20</f>
        <v>306</v>
      </c>
    </row>
    <row r="23" customFormat="false" ht="15" hidden="false" customHeight="false" outlineLevel="0" collapsed="false">
      <c r="A23" s="4" t="s">
        <v>263</v>
      </c>
      <c r="B23" s="15" t="n">
        <f aca="false">Inputs!B33-B21</f>
        <v>69</v>
      </c>
      <c r="C23" s="10" t="s">
        <v>264</v>
      </c>
    </row>
    <row r="25" customFormat="false" ht="16.15" hidden="false" customHeight="false" outlineLevel="0" collapsed="false">
      <c r="A25" s="11" t="s">
        <v>265</v>
      </c>
    </row>
    <row r="26" customFormat="false" ht="15" hidden="false" customHeight="false" outlineLevel="0" collapsed="false">
      <c r="A26" s="13" t="s">
        <v>266</v>
      </c>
      <c r="B26" s="13" t="s">
        <v>267</v>
      </c>
      <c r="C26" s="13" t="s">
        <v>268</v>
      </c>
      <c r="D26" s="13" t="s">
        <v>269</v>
      </c>
    </row>
    <row r="27" customFormat="false" ht="15" hidden="false" customHeight="false" outlineLevel="0" collapsed="false">
      <c r="A27" s="16" t="n">
        <v>0</v>
      </c>
      <c r="B27" s="15" t="n">
        <f aca="false">B$14*A27*B$5+B$14*(1-A27)*B$7</f>
        <v>360</v>
      </c>
      <c r="C27" s="15" t="n">
        <f aca="false">Inputs!B33-B27</f>
        <v>15</v>
      </c>
      <c r="D27" s="15" t="n">
        <f aca="false">C27*12</f>
        <v>180</v>
      </c>
    </row>
    <row r="28" customFormat="false" ht="15" hidden="false" customHeight="false" outlineLevel="0" collapsed="false">
      <c r="A28" s="16" t="n">
        <v>0.1</v>
      </c>
      <c r="B28" s="15" t="n">
        <f aca="false">B$14*A28*B$5+B$14*(1-A28)*B$7</f>
        <v>342</v>
      </c>
      <c r="C28" s="15" t="n">
        <f aca="false">Inputs!B33-B28</f>
        <v>33</v>
      </c>
      <c r="D28" s="15" t="n">
        <f aca="false">C28*12</f>
        <v>396</v>
      </c>
    </row>
    <row r="29" customFormat="false" ht="15" hidden="false" customHeight="false" outlineLevel="0" collapsed="false">
      <c r="A29" s="16" t="n">
        <v>0.2</v>
      </c>
      <c r="B29" s="15" t="n">
        <f aca="false">B$14*A29*B$5+B$14*(1-A29)*B$7</f>
        <v>324</v>
      </c>
      <c r="C29" s="15" t="n">
        <f aca="false">Inputs!B33-B29</f>
        <v>51</v>
      </c>
      <c r="D29" s="15" t="n">
        <f aca="false">C29*12</f>
        <v>612</v>
      </c>
    </row>
    <row r="30" customFormat="false" ht="15" hidden="false" customHeight="false" outlineLevel="0" collapsed="false">
      <c r="A30" s="16" t="n">
        <v>0.3</v>
      </c>
      <c r="B30" s="15" t="n">
        <f aca="false">B$14*A30*B$5+B$14*(1-A30)*B$7</f>
        <v>306</v>
      </c>
      <c r="C30" s="15" t="n">
        <f aca="false">Inputs!B33-B30</f>
        <v>69</v>
      </c>
      <c r="D30" s="15" t="n">
        <f aca="false">C30*12</f>
        <v>828</v>
      </c>
    </row>
    <row r="31" customFormat="false" ht="15" hidden="false" customHeight="false" outlineLevel="0" collapsed="false">
      <c r="A31" s="16" t="n">
        <v>0.4</v>
      </c>
      <c r="B31" s="15" t="n">
        <f aca="false">B$14*A31*B$5+B$14*(1-A31)*B$7</f>
        <v>288</v>
      </c>
      <c r="C31" s="15" t="n">
        <f aca="false">Inputs!B33-B31</f>
        <v>87</v>
      </c>
      <c r="D31" s="15" t="n">
        <f aca="false">C31*12</f>
        <v>1044</v>
      </c>
    </row>
    <row r="32" customFormat="false" ht="15" hidden="false" customHeight="false" outlineLevel="0" collapsed="false">
      <c r="A32" s="16" t="n">
        <v>0.5</v>
      </c>
      <c r="B32" s="15" t="n">
        <f aca="false">B$14*A32*B$5+B$14*(1-A32)*B$7</f>
        <v>270</v>
      </c>
      <c r="C32" s="15" t="n">
        <f aca="false">Inputs!B33-B32</f>
        <v>105</v>
      </c>
      <c r="D32" s="15" t="n">
        <f aca="false">C32*12</f>
        <v>1260</v>
      </c>
    </row>
    <row r="33" customFormat="false" ht="15" hidden="false" customHeight="false" outlineLevel="0" collapsed="false">
      <c r="A33" s="16" t="n">
        <v>0.6</v>
      </c>
      <c r="B33" s="15" t="n">
        <f aca="false">B$14*A33*B$5+B$14*(1-A33)*B$7</f>
        <v>252</v>
      </c>
      <c r="C33" s="15" t="n">
        <f aca="false">Inputs!B33-B33</f>
        <v>123</v>
      </c>
      <c r="D33" s="15" t="n">
        <f aca="false">C33*12</f>
        <v>1476</v>
      </c>
    </row>
    <row r="34" customFormat="false" ht="15" hidden="false" customHeight="false" outlineLevel="0" collapsed="false">
      <c r="A34" s="16" t="n">
        <v>0.7</v>
      </c>
      <c r="B34" s="15" t="n">
        <f aca="false">B$14*A34*B$5+B$14*(1-A34)*B$7</f>
        <v>234</v>
      </c>
      <c r="C34" s="15" t="n">
        <f aca="false">Inputs!B33-B34</f>
        <v>141</v>
      </c>
      <c r="D34" s="15" t="n">
        <f aca="false">C34*12</f>
        <v>1692</v>
      </c>
    </row>
    <row r="35" customFormat="false" ht="15" hidden="false" customHeight="false" outlineLevel="0" collapsed="false">
      <c r="A35" s="16" t="n">
        <v>0.8</v>
      </c>
      <c r="B35" s="15" t="n">
        <f aca="false">B$14*A35*B$5+B$14*(1-A35)*B$7</f>
        <v>216</v>
      </c>
      <c r="C35" s="15" t="n">
        <f aca="false">Inputs!B33-B35</f>
        <v>159</v>
      </c>
      <c r="D35" s="15" t="n">
        <f aca="false">C35*12</f>
        <v>1908</v>
      </c>
    </row>
    <row r="36" customFormat="false" ht="15" hidden="false" customHeight="false" outlineLevel="0" collapsed="false">
      <c r="A36" s="16" t="n">
        <v>0.9</v>
      </c>
      <c r="B36" s="15" t="n">
        <f aca="false">B$14*A36*B$5+B$14*(1-A36)*B$7</f>
        <v>198</v>
      </c>
      <c r="C36" s="15" t="n">
        <f aca="false">Inputs!B33-B36</f>
        <v>177</v>
      </c>
      <c r="D36" s="15" t="n">
        <f aca="false">C36*12</f>
        <v>2124</v>
      </c>
    </row>
    <row r="37" customFormat="false" ht="15" hidden="false" customHeight="false" outlineLevel="0" collapsed="false">
      <c r="A37" s="16" t="n">
        <v>1</v>
      </c>
      <c r="B37" s="15" t="n">
        <f aca="false">B$14*A37*B$5+B$14*(1-A37)*B$7</f>
        <v>180</v>
      </c>
      <c r="C37" s="15" t="n">
        <f aca="false">Inputs!B33-B37</f>
        <v>195</v>
      </c>
      <c r="D37" s="15" t="n">
        <f aca="false">C37*12</f>
        <v>2340</v>
      </c>
    </row>
    <row r="39" customFormat="false" ht="15" hidden="false" customHeight="false" outlineLevel="0" collapsed="false">
      <c r="A39" s="4" t="s">
        <v>270</v>
      </c>
    </row>
    <row r="40" customFormat="false" ht="15" hidden="false" customHeight="false" outlineLevel="0" collapsed="false">
      <c r="A40" s="5" t="s">
        <v>271</v>
      </c>
    </row>
    <row r="41" customFormat="false" ht="15" hidden="false" customHeight="false" outlineLevel="0" collapsed="false">
      <c r="A41" s="5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60"/>
    <col collapsed="false" customWidth="true" hidden="false" outlineLevel="0" max="3" min="3" style="0" width="20"/>
  </cols>
  <sheetData>
    <row r="1" customFormat="false" ht="22.05" hidden="false" customHeight="false" outlineLevel="0" collapsed="false">
      <c r="A1" s="2" t="s">
        <v>273</v>
      </c>
    </row>
    <row r="2" customFormat="false" ht="15" hidden="false" customHeight="false" outlineLevel="0" collapsed="false">
      <c r="A2" s="10" t="s">
        <v>274</v>
      </c>
    </row>
    <row r="4" customFormat="false" ht="15" hidden="false" customHeight="false" outlineLevel="0" collapsed="false">
      <c r="A4" s="13" t="s">
        <v>275</v>
      </c>
      <c r="B4" s="13" t="s">
        <v>276</v>
      </c>
      <c r="C4" s="13" t="s">
        <v>7</v>
      </c>
    </row>
    <row r="5" customFormat="false" ht="15" hidden="false" customHeight="false" outlineLevel="0" collapsed="false">
      <c r="A5" s="5" t="s">
        <v>277</v>
      </c>
      <c r="B5" s="39" t="s">
        <v>278</v>
      </c>
      <c r="C5" s="10" t="s">
        <v>279</v>
      </c>
    </row>
    <row r="6" customFormat="false" ht="15" hidden="false" customHeight="false" outlineLevel="0" collapsed="false">
      <c r="A6" s="5" t="s">
        <v>280</v>
      </c>
      <c r="B6" s="39" t="s">
        <v>281</v>
      </c>
      <c r="C6" s="10" t="s">
        <v>279</v>
      </c>
    </row>
    <row r="7" customFormat="false" ht="26.85" hidden="false" customHeight="false" outlineLevel="0" collapsed="false">
      <c r="A7" s="5" t="s">
        <v>282</v>
      </c>
      <c r="B7" s="39" t="s">
        <v>283</v>
      </c>
      <c r="C7" s="10" t="s">
        <v>284</v>
      </c>
    </row>
    <row r="8" customFormat="false" ht="15" hidden="false" customHeight="false" outlineLevel="0" collapsed="false">
      <c r="A8" s="5" t="s">
        <v>285</v>
      </c>
      <c r="B8" s="39" t="s">
        <v>286</v>
      </c>
      <c r="C8" s="10" t="s">
        <v>279</v>
      </c>
    </row>
    <row r="9" customFormat="false" ht="15" hidden="false" customHeight="false" outlineLevel="0" collapsed="false">
      <c r="A9" s="5" t="s">
        <v>287</v>
      </c>
      <c r="B9" s="39" t="s">
        <v>288</v>
      </c>
      <c r="C9" s="10" t="s">
        <v>289</v>
      </c>
    </row>
    <row r="10" customFormat="false" ht="15" hidden="false" customHeight="false" outlineLevel="0" collapsed="false">
      <c r="A10" s="5" t="s">
        <v>290</v>
      </c>
      <c r="B10" s="39" t="s">
        <v>291</v>
      </c>
      <c r="C10" s="10" t="s">
        <v>289</v>
      </c>
    </row>
    <row r="11" customFormat="false" ht="15" hidden="false" customHeight="false" outlineLevel="0" collapsed="false">
      <c r="A11" s="5" t="s">
        <v>292</v>
      </c>
      <c r="B11" s="39" t="s">
        <v>293</v>
      </c>
      <c r="C11" s="10" t="s">
        <v>279</v>
      </c>
    </row>
    <row r="12" customFormat="false" ht="15" hidden="false" customHeight="false" outlineLevel="0" collapsed="false">
      <c r="A12" s="5" t="s">
        <v>294</v>
      </c>
      <c r="B12" s="39" t="s">
        <v>295</v>
      </c>
      <c r="C12" s="10" t="s">
        <v>279</v>
      </c>
    </row>
    <row r="13" customFormat="false" ht="15" hidden="false" customHeight="false" outlineLevel="0" collapsed="false">
      <c r="A13" s="5" t="s">
        <v>296</v>
      </c>
      <c r="B13" s="39" t="s">
        <v>297</v>
      </c>
      <c r="C13" s="10" t="s">
        <v>298</v>
      </c>
    </row>
    <row r="14" customFormat="false" ht="15" hidden="false" customHeight="false" outlineLevel="0" collapsed="false">
      <c r="A14" s="5" t="s">
        <v>299</v>
      </c>
      <c r="B14" s="39" t="s">
        <v>300</v>
      </c>
      <c r="C14" s="10" t="s">
        <v>301</v>
      </c>
    </row>
    <row r="15" customFormat="false" ht="15" hidden="false" customHeight="false" outlineLevel="0" collapsed="false">
      <c r="A15" s="5" t="s">
        <v>302</v>
      </c>
      <c r="B15" s="39" t="s">
        <v>303</v>
      </c>
      <c r="C15" s="10" t="s">
        <v>279</v>
      </c>
    </row>
    <row r="18" customFormat="false" ht="15" hidden="false" customHeight="false" outlineLevel="0" collapsed="false">
      <c r="A18" s="32" t="s">
        <v>304</v>
      </c>
    </row>
    <row r="19" customFormat="false" ht="15" hidden="false" customHeight="false" outlineLevel="0" collapsed="false">
      <c r="A19" s="5" t="s">
        <v>305</v>
      </c>
    </row>
    <row r="20" customFormat="false" ht="15" hidden="false" customHeight="false" outlineLevel="0" collapsed="false">
      <c r="A20" s="5" t="s">
        <v>306</v>
      </c>
    </row>
    <row r="21" customFormat="false" ht="15" hidden="false" customHeight="false" outlineLevel="0" collapsed="false">
      <c r="A21" s="5" t="s">
        <v>307</v>
      </c>
    </row>
    <row r="23" customFormat="false" ht="15" hidden="false" customHeight="false" outlineLevel="0" collapsed="false">
      <c r="A23" s="32" t="s">
        <v>308</v>
      </c>
    </row>
    <row r="24" customFormat="false" ht="15" hidden="false" customHeight="false" outlineLevel="0" collapsed="false">
      <c r="A24" s="5" t="s">
        <v>309</v>
      </c>
    </row>
    <row r="25" customFormat="false" ht="15" hidden="false" customHeight="false" outlineLevel="0" collapsed="false">
      <c r="A25" s="5" t="s">
        <v>310</v>
      </c>
    </row>
    <row r="26" customFormat="false" ht="15" hidden="false" customHeight="false" outlineLevel="0" collapsed="false">
      <c r="A26" s="5" t="s">
        <v>311</v>
      </c>
    </row>
    <row r="27" customFormat="false" ht="15" hidden="false" customHeight="false" outlineLevel="0" collapsed="false">
      <c r="A27" s="5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2026-05-04T21:32:14Z</dcterms:created>
  <dc:creator>openpyxl</dc:creator>
  <dc:description/>
  <dc:language>en-US</dc:language>
  <cp:lastModifiedBy/>
  <dcterms:modified xsi:type="dcterms:W3CDTF">2026-05-04T21:32:14Z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