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Templates" sheetId="2" state="visible" r:id="rId4"/>
    <sheet name="Pipeli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<sst xmlns="http://schemas.openxmlformats.org/spreadsheetml/2006/main" count="77" uniqueCount="76">
  <si>
    <t xml:space="preserve">#</t>
  </si>
  <si>
    <t xml:space="preserve">Name</t>
  </si>
  <si>
    <t xml:space="preserve">Title</t>
  </si>
  <si>
    <t xml:space="preserve">Company</t>
  </si>
  <si>
    <t xml:space="preserve">Headcount</t>
  </si>
  <si>
    <t xml:space="preserve">LinkedIn URL</t>
  </si>
  <si>
    <t xml:space="preserve">Email</t>
  </si>
  <si>
    <t xml:space="preserve">Hook / Trigger</t>
  </si>
  <si>
    <t xml:space="preserve">Status</t>
  </si>
  <si>
    <t xml:space="preserve">Day 0 sent</t>
  </si>
  <si>
    <t xml:space="preserve">Day 2 bump</t>
  </si>
  <si>
    <t xml:space="preserve">Day 4 value</t>
  </si>
  <si>
    <t xml:space="preserve">Day 7 close</t>
  </si>
  <si>
    <t xml:space="preserve">Day 14 close</t>
  </si>
  <si>
    <t xml:space="preserve">Days since touch</t>
  </si>
  <si>
    <t xml:space="preserve">Reply notes</t>
  </si>
  <si>
    <t xml:space="preserve">Next action</t>
  </si>
  <si>
    <t xml:space="preserve">Day 0 — initial</t>
  </si>
  <si>
    <t xml:space="preserve">Subject: the spreadsheet behind your AI bill
[First name] — I noticed [Company] is in the size where ChatGPT Team + Slack
Business+ + Asana Business + DocuSign + 1Password is running about
$238/seat/month. Across [N] seats that's $[N*238*12]/yr.
We built a tool that shows you exactly what your stack costs vs. running
the same stack on a single piece of hardware that lives in your office —
no per-seat fees, no AI bill, no vendor training on your customer data.
It takes about a minute:
https://bestly.tech/cloud (the calculator at the bottom)
If the number is interesting, I can walk you through a 30-minute discovery.
Reply with a yes and I'll send a Cal link.
— Jared
Founder, Bestly</t>
  </si>
  <si>
    <t xml:space="preserve">Day 2 — bump</t>
  </si>
  <si>
    <t xml:space="preserve">Bumping this in case it got buried — same question, different angle:
if I sent you the cost-comparison PDF for [Company]'s specific stack
would that be useful, or skip it?</t>
  </si>
  <si>
    <t xml:space="preserve">Day 4 — value</t>
  </si>
  <si>
    <t xml:space="preserve">No need to reply. Just thought you'd want this: our last 10 customers
at your size cut their AI + collaboration spend by an average of 71%
over three years. The math is at bestly.tech/cloud — the calculator
is the one near the bottom.</t>
  </si>
  <si>
    <t xml:space="preserve">Day 7 — soft close</t>
  </si>
  <si>
    <t xml:space="preserve">Last note from me on this thread. If now isn't the right time, no
problem — when would be? I'll set a reminder. Otherwise I'll close the loop.</t>
  </si>
  <si>
    <t xml:space="preserve">Day 14 — permission close</t>
  </si>
  <si>
    <t xml:space="preserve">Closing the loop on this. If something changes on the privacy or
cost-cutting side and you want to revisit, my line is always open.
Thanks for considering.</t>
  </si>
  <si>
    <t xml:space="preserve">Day 30 — trigger restart</t>
  </si>
  <si>
    <t xml:space="preserve">Saw [trigger: their company posted X / they posted Y / their vendor
raised prices]. Worth another conversation?</t>
  </si>
  <si>
    <t xml:space="preserve">--- HOOKS ---</t>
  </si>
  <si>
    <t xml:space="preserve">Use one of these in column H (Hook / Trigger)</t>
  </si>
  <si>
    <t xml:space="preserve">Hook A</t>
  </si>
  <si>
    <t xml:space="preserve">Just posted about consolidating their marketing stack</t>
  </si>
  <si>
    <t xml:space="preserve">Hook B</t>
  </si>
  <si>
    <t xml:space="preserve">Hiring 'AI Operations' / 'Marketing AI Specialist' role</t>
  </si>
  <si>
    <t xml:space="preserve">Hook C</t>
  </si>
  <si>
    <t xml:space="preserve">Just raised Series B/C — compliance review imminent</t>
  </si>
  <si>
    <t xml:space="preserve">Hook D</t>
  </si>
  <si>
    <t xml:space="preserve">Posted about SOC 2 / ISO 27001 / GDPR work</t>
  </si>
  <si>
    <t xml:space="preserve">Hook E</t>
  </si>
  <si>
    <t xml:space="preserve">Complained publicly about a SaaS vendor price hike or outage</t>
  </si>
  <si>
    <t xml:space="preserve">Hook F</t>
  </si>
  <si>
    <t xml:space="preserve">Their company is on the Sales Nav 'using 5+ point tools' list</t>
  </si>
  <si>
    <t xml:space="preserve">Hook G</t>
  </si>
  <si>
    <t xml:space="preserve">New CTO/CISO hire in last 90 days</t>
  </si>
  <si>
    <t xml:space="preserve">Hook H</t>
  </si>
  <si>
    <t xml:space="preserve">M&amp;A activity — bringing tools in-house mindset post-merger</t>
  </si>
  <si>
    <t xml:space="preserve">Hook I</t>
  </si>
  <si>
    <t xml:space="preserve">Slack/Asana/DocuSign renewal cycle in next 90 days</t>
  </si>
  <si>
    <t xml:space="preserve">Hook J</t>
  </si>
  <si>
    <t xml:space="preserve">Mentioned ChatGPT Team + data leak / compliance in a post</t>
  </si>
  <si>
    <t xml:space="preserve">Count</t>
  </si>
  <si>
    <t xml:space="preserve">% of total contacted</t>
  </si>
  <si>
    <t xml:space="preserve">pending</t>
  </si>
  <si>
    <t xml:space="preserve">sent D0</t>
  </si>
  <si>
    <t xml:space="preserve">sent D2</t>
  </si>
  <si>
    <t xml:space="preserve">sent D4</t>
  </si>
  <si>
    <t xml:space="preserve">sent D7</t>
  </si>
  <si>
    <t xml:space="preserve">sent D14</t>
  </si>
  <si>
    <t xml:space="preserve">replied</t>
  </si>
  <si>
    <t xml:space="preserve">meeting booked</t>
  </si>
  <si>
    <t xml:space="preserve">closed-won</t>
  </si>
  <si>
    <t xml:space="preserve">closed-lost</t>
  </si>
  <si>
    <t xml:space="preserve">nurture</t>
  </si>
  <si>
    <t xml:space="preserve">TOTAL</t>
  </si>
  <si>
    <t xml:space="preserve">KEY RATIOS</t>
  </si>
  <si>
    <t xml:space="preserve">Reply rate</t>
  </si>
  <si>
    <t xml:space="preserve">Meeting rate (of replies)</t>
  </si>
  <si>
    <t xml:space="preserve">Close rate (of meetings)</t>
  </si>
  <si>
    <t xml:space="preserve">TARGETS (from playbook §9)</t>
  </si>
  <si>
    <t xml:space="preserve">Reply rate target</t>
  </si>
  <si>
    <t xml:space="preserve">8–12%</t>
  </si>
  <si>
    <t xml:space="preserve">Demo-book target</t>
  </si>
  <si>
    <t xml:space="preserve">30%</t>
  </si>
  <si>
    <t xml:space="preserve">Demo-to-close target</t>
  </si>
  <si>
    <t xml:space="preserve">20% Y1 / 35% Y2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</si>
</sst>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1"/>
      <color rgb="FFC84D2B"/>
      <name val="Arial"/>
      <family val="0"/>
      <charset val="1"/>
    </font>
    <font>
      <sz val="10"/>
      <color rgb="FF0A0A0A"/>
      <name val="Arial"/>
      <family val="0"/>
      <charset val="1"/>
    </font>
    <font>
      <b val="true"/>
      <sz val="10"/>
      <color rgb="FF0A0A0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84D2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84D2B"/>
      </bottom>
      <diagonal/>
    </border>
    <border diagonalUp="false" diagonalDown="false">
      <left/>
      <right/>
      <top style="medium">
        <color rgb="FFC84D2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1F5F9"/>
        </patternFill>
      </fill>
    </dxf>
    <dxf>
      <fill>
        <patternFill>
          <bgColor rgb="FFDBEAFE"/>
        </patternFill>
      </fill>
    </dxf>
    <dxf>
      <fill>
        <patternFill>
          <bgColor rgb="FFFDE68A"/>
        </patternFill>
      </fill>
    </dxf>
    <dxf>
      <fill>
        <patternFill>
          <bgColor rgb="FFFED7AA"/>
        </patternFill>
      </fill>
    </dxf>
    <dxf>
      <fill>
        <patternFill>
          <bgColor rgb="FFBBF7D0"/>
        </patternFill>
      </fill>
    </dxf>
    <dxf>
      <fill>
        <patternFill>
          <bgColor rgb="FFFECACA"/>
        </patternFill>
      </fill>
    </dxf>
    <dxf>
      <fill>
        <patternFill>
          <bgColor rgb="FFE9D5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ECACA"/>
      <rgbColor rgb="FF808080"/>
      <rgbColor rgb="FF9999FF"/>
      <rgbColor rgb="FF993366"/>
      <rgbColor rgb="FFF1F5F9"/>
      <rgbColor rgb="FFDBEAFE"/>
      <rgbColor rgb="FF660066"/>
      <rgbColor rgb="FFFF8080"/>
      <rgbColor rgb="FF0066CC"/>
      <rgbColor rgb="FFE9D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BF7D0"/>
      <rgbColor rgb="FFFDE68A"/>
      <rgbColor rgb="FF99CCFF"/>
      <rgbColor rgb="FFFF99CC"/>
      <rgbColor rgb="FFCC99FF"/>
      <rgbColor rgb="FFFED7AA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A0A0A"/>
      <rgbColor rgb="FF333300"/>
      <rgbColor rgb="FFC84D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4D2B"/>
    <pageSetUpPr fitToPage="false"/>
  </sheetPr>
  <dimension ref="A1:Q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36"/>
    <col collapsed="false" customWidth="true" hidden="false" outlineLevel="0" max="7" min="7" style="0" width="28"/>
    <col collapsed="false" customWidth="true" hidden="false" outlineLevel="0" max="8" min="8" style="0" width="32"/>
    <col collapsed="false" customWidth="true" hidden="false" outlineLevel="0" max="9" min="9" style="0" width="16"/>
    <col collapsed="false" customWidth="true" hidden="false" outlineLevel="0" max="14" min="10" style="0" width="11"/>
    <col collapsed="false" customWidth="true" hidden="false" outlineLevel="0" max="15" min="15" style="0" width="14"/>
    <col collapsed="false" customWidth="true" hidden="false" outlineLevel="0" max="16" min="16" style="0" width="40"/>
    <col collapsed="false" customWidth="true" hidden="false" outlineLevel="0" max="17" min="17" style="0" width="2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8" hidden="false" customHeight="true" outlineLevel="0" collapsed="false">
      <c r="A2" s="2" t="n">
        <v>1</v>
      </c>
      <c r="J2" s="3"/>
      <c r="K2" s="3"/>
      <c r="L2" s="3"/>
      <c r="M2" s="3"/>
      <c r="N2" s="3"/>
      <c r="O2" s="2" t="str">
        <f aca="true">IF(COUNT(J2:N2)=0,"",TODAY()-MAX(J2:N2))</f>
        <v/>
      </c>
    </row>
    <row r="3" customFormat="false" ht="18" hidden="false" customHeight="true" outlineLevel="0" collapsed="false">
      <c r="A3" s="2" t="n">
        <v>2</v>
      </c>
      <c r="J3" s="3"/>
      <c r="K3" s="3"/>
      <c r="L3" s="3"/>
      <c r="M3" s="3"/>
      <c r="N3" s="3"/>
      <c r="O3" s="2" t="str">
        <f aca="true">IF(COUNT(J3:N3)=0,"",TODAY()-MAX(J3:N3))</f>
        <v/>
      </c>
    </row>
    <row r="4" customFormat="false" ht="18" hidden="false" customHeight="true" outlineLevel="0" collapsed="false">
      <c r="A4" s="2" t="n">
        <v>3</v>
      </c>
      <c r="J4" s="3"/>
      <c r="K4" s="3"/>
      <c r="L4" s="3"/>
      <c r="M4" s="3"/>
      <c r="N4" s="3"/>
      <c r="O4" s="2" t="str">
        <f aca="true">IF(COUNT(J4:N4)=0,"",TODAY()-MAX(J4:N4))</f>
        <v/>
      </c>
    </row>
    <row r="5" customFormat="false" ht="18" hidden="false" customHeight="true" outlineLevel="0" collapsed="false">
      <c r="A5" s="2" t="n">
        <v>4</v>
      </c>
      <c r="J5" s="3"/>
      <c r="K5" s="3"/>
      <c r="L5" s="3"/>
      <c r="M5" s="3"/>
      <c r="N5" s="3"/>
      <c r="O5" s="2" t="str">
        <f aca="true">IF(COUNT(J5:N5)=0,"",TODAY()-MAX(J5:N5))</f>
        <v/>
      </c>
    </row>
    <row r="6" customFormat="false" ht="18" hidden="false" customHeight="true" outlineLevel="0" collapsed="false">
      <c r="A6" s="2" t="n">
        <v>5</v>
      </c>
      <c r="J6" s="3"/>
      <c r="K6" s="3"/>
      <c r="L6" s="3"/>
      <c r="M6" s="3"/>
      <c r="N6" s="3"/>
      <c r="O6" s="2" t="str">
        <f aca="true">IF(COUNT(J6:N6)=0,"",TODAY()-MAX(J6:N6))</f>
        <v/>
      </c>
    </row>
    <row r="7" customFormat="false" ht="18" hidden="false" customHeight="true" outlineLevel="0" collapsed="false">
      <c r="A7" s="2" t="n">
        <v>6</v>
      </c>
      <c r="J7" s="3"/>
      <c r="K7" s="3"/>
      <c r="L7" s="3"/>
      <c r="M7" s="3"/>
      <c r="N7" s="3"/>
      <c r="O7" s="2" t="str">
        <f aca="true">IF(COUNT(J7:N7)=0,"",TODAY()-MAX(J7:N7))</f>
        <v/>
      </c>
    </row>
    <row r="8" customFormat="false" ht="18" hidden="false" customHeight="true" outlineLevel="0" collapsed="false">
      <c r="A8" s="2" t="n">
        <v>7</v>
      </c>
      <c r="J8" s="3"/>
      <c r="K8" s="3"/>
      <c r="L8" s="3"/>
      <c r="M8" s="3"/>
      <c r="N8" s="3"/>
      <c r="O8" s="2" t="str">
        <f aca="true">IF(COUNT(J8:N8)=0,"",TODAY()-MAX(J8:N8))</f>
        <v/>
      </c>
    </row>
    <row r="9" customFormat="false" ht="18" hidden="false" customHeight="true" outlineLevel="0" collapsed="false">
      <c r="A9" s="2" t="n">
        <v>8</v>
      </c>
      <c r="J9" s="3"/>
      <c r="K9" s="3"/>
      <c r="L9" s="3"/>
      <c r="M9" s="3"/>
      <c r="N9" s="3"/>
      <c r="O9" s="2" t="str">
        <f aca="true">IF(COUNT(J9:N9)=0,"",TODAY()-MAX(J9:N9))</f>
        <v/>
      </c>
    </row>
    <row r="10" customFormat="false" ht="18" hidden="false" customHeight="true" outlineLevel="0" collapsed="false">
      <c r="A10" s="2" t="n">
        <v>9</v>
      </c>
      <c r="J10" s="3"/>
      <c r="K10" s="3"/>
      <c r="L10" s="3"/>
      <c r="M10" s="3"/>
      <c r="N10" s="3"/>
      <c r="O10" s="2" t="str">
        <f aca="true">IF(COUNT(J10:N10)=0,"",TODAY()-MAX(J10:N10))</f>
        <v/>
      </c>
    </row>
    <row r="11" customFormat="false" ht="18" hidden="false" customHeight="true" outlineLevel="0" collapsed="false">
      <c r="A11" s="2" t="n">
        <v>10</v>
      </c>
      <c r="J11" s="3"/>
      <c r="K11" s="3"/>
      <c r="L11" s="3"/>
      <c r="M11" s="3"/>
      <c r="N11" s="3"/>
      <c r="O11" s="2" t="str">
        <f aca="true">IF(COUNT(J11:N11)=0,"",TODAY()-MAX(J11:N11))</f>
        <v/>
      </c>
    </row>
    <row r="12" customFormat="false" ht="18" hidden="false" customHeight="true" outlineLevel="0" collapsed="false">
      <c r="A12" s="2" t="n">
        <v>11</v>
      </c>
      <c r="J12" s="3"/>
      <c r="K12" s="3"/>
      <c r="L12" s="3"/>
      <c r="M12" s="3"/>
      <c r="N12" s="3"/>
      <c r="O12" s="2" t="str">
        <f aca="true">IF(COUNT(J12:N12)=0,"",TODAY()-MAX(J12:N12))</f>
        <v/>
      </c>
    </row>
    <row r="13" customFormat="false" ht="18" hidden="false" customHeight="true" outlineLevel="0" collapsed="false">
      <c r="A13" s="2" t="n">
        <v>12</v>
      </c>
      <c r="J13" s="3"/>
      <c r="K13" s="3"/>
      <c r="L13" s="3"/>
      <c r="M13" s="3"/>
      <c r="N13" s="3"/>
      <c r="O13" s="2" t="str">
        <f aca="true">IF(COUNT(J13:N13)=0,"",TODAY()-MAX(J13:N13))</f>
        <v/>
      </c>
    </row>
    <row r="14" customFormat="false" ht="18" hidden="false" customHeight="true" outlineLevel="0" collapsed="false">
      <c r="A14" s="2" t="n">
        <v>13</v>
      </c>
      <c r="J14" s="3"/>
      <c r="K14" s="3"/>
      <c r="L14" s="3"/>
      <c r="M14" s="3"/>
      <c r="N14" s="3"/>
      <c r="O14" s="2" t="str">
        <f aca="true">IF(COUNT(J14:N14)=0,"",TODAY()-MAX(J14:N14))</f>
        <v/>
      </c>
    </row>
    <row r="15" customFormat="false" ht="18" hidden="false" customHeight="true" outlineLevel="0" collapsed="false">
      <c r="A15" s="2" t="n">
        <v>14</v>
      </c>
      <c r="J15" s="3"/>
      <c r="K15" s="3"/>
      <c r="L15" s="3"/>
      <c r="M15" s="3"/>
      <c r="N15" s="3"/>
      <c r="O15" s="2" t="str">
        <f aca="true">IF(COUNT(J15:N15)=0,"",TODAY()-MAX(J15:N15))</f>
        <v/>
      </c>
    </row>
    <row r="16" customFormat="false" ht="18" hidden="false" customHeight="true" outlineLevel="0" collapsed="false">
      <c r="A16" s="2" t="n">
        <v>15</v>
      </c>
      <c r="J16" s="3"/>
      <c r="K16" s="3"/>
      <c r="L16" s="3"/>
      <c r="M16" s="3"/>
      <c r="N16" s="3"/>
      <c r="O16" s="2" t="str">
        <f aca="true">IF(COUNT(J16:N16)=0,"",TODAY()-MAX(J16:N16))</f>
        <v/>
      </c>
    </row>
    <row r="17" customFormat="false" ht="18" hidden="false" customHeight="true" outlineLevel="0" collapsed="false">
      <c r="A17" s="2" t="n">
        <v>16</v>
      </c>
      <c r="J17" s="3"/>
      <c r="K17" s="3"/>
      <c r="L17" s="3"/>
      <c r="M17" s="3"/>
      <c r="N17" s="3"/>
      <c r="O17" s="2" t="str">
        <f aca="true">IF(COUNT(J17:N17)=0,"",TODAY()-MAX(J17:N17))</f>
        <v/>
      </c>
    </row>
    <row r="18" customFormat="false" ht="18" hidden="false" customHeight="true" outlineLevel="0" collapsed="false">
      <c r="A18" s="2" t="n">
        <v>17</v>
      </c>
      <c r="J18" s="3"/>
      <c r="K18" s="3"/>
      <c r="L18" s="3"/>
      <c r="M18" s="3"/>
      <c r="N18" s="3"/>
      <c r="O18" s="2" t="str">
        <f aca="true">IF(COUNT(J18:N18)=0,"",TODAY()-MAX(J18:N18))</f>
        <v/>
      </c>
    </row>
    <row r="19" customFormat="false" ht="18" hidden="false" customHeight="true" outlineLevel="0" collapsed="false">
      <c r="A19" s="2" t="n">
        <v>18</v>
      </c>
      <c r="J19" s="3"/>
      <c r="K19" s="3"/>
      <c r="L19" s="3"/>
      <c r="M19" s="3"/>
      <c r="N19" s="3"/>
      <c r="O19" s="2" t="str">
        <f aca="true">IF(COUNT(J19:N19)=0,"",TODAY()-MAX(J19:N19))</f>
        <v/>
      </c>
    </row>
    <row r="20" customFormat="false" ht="18" hidden="false" customHeight="true" outlineLevel="0" collapsed="false">
      <c r="A20" s="2" t="n">
        <v>19</v>
      </c>
      <c r="J20" s="3"/>
      <c r="K20" s="3"/>
      <c r="L20" s="3"/>
      <c r="M20" s="3"/>
      <c r="N20" s="3"/>
      <c r="O20" s="2" t="str">
        <f aca="true">IF(COUNT(J20:N20)=0,"",TODAY()-MAX(J20:N20))</f>
        <v/>
      </c>
    </row>
    <row r="21" customFormat="false" ht="18" hidden="false" customHeight="true" outlineLevel="0" collapsed="false">
      <c r="A21" s="2" t="n">
        <v>20</v>
      </c>
      <c r="J21" s="3"/>
      <c r="K21" s="3"/>
      <c r="L21" s="3"/>
      <c r="M21" s="3"/>
      <c r="N21" s="3"/>
      <c r="O21" s="2" t="str">
        <f aca="true">IF(COUNT(J21:N21)=0,"",TODAY()-MAX(J21:N21))</f>
        <v/>
      </c>
    </row>
    <row r="22" customFormat="false" ht="18" hidden="false" customHeight="true" outlineLevel="0" collapsed="false">
      <c r="A22" s="2" t="n">
        <v>21</v>
      </c>
      <c r="J22" s="3"/>
      <c r="K22" s="3"/>
      <c r="L22" s="3"/>
      <c r="M22" s="3"/>
      <c r="N22" s="3"/>
      <c r="O22" s="2" t="str">
        <f aca="true">IF(COUNT(J22:N22)=0,"",TODAY()-MAX(J22:N22))</f>
        <v/>
      </c>
    </row>
    <row r="23" customFormat="false" ht="18" hidden="false" customHeight="true" outlineLevel="0" collapsed="false">
      <c r="A23" s="2" t="n">
        <v>22</v>
      </c>
      <c r="J23" s="3"/>
      <c r="K23" s="3"/>
      <c r="L23" s="3"/>
      <c r="M23" s="3"/>
      <c r="N23" s="3"/>
      <c r="O23" s="2" t="str">
        <f aca="true">IF(COUNT(J23:N23)=0,"",TODAY()-MAX(J23:N23))</f>
        <v/>
      </c>
    </row>
    <row r="24" customFormat="false" ht="18" hidden="false" customHeight="true" outlineLevel="0" collapsed="false">
      <c r="A24" s="2" t="n">
        <v>23</v>
      </c>
      <c r="J24" s="3"/>
      <c r="K24" s="3"/>
      <c r="L24" s="3"/>
      <c r="M24" s="3"/>
      <c r="N24" s="3"/>
      <c r="O24" s="2" t="str">
        <f aca="true">IF(COUNT(J24:N24)=0,"",TODAY()-MAX(J24:N24))</f>
        <v/>
      </c>
    </row>
    <row r="25" customFormat="false" ht="18" hidden="false" customHeight="true" outlineLevel="0" collapsed="false">
      <c r="A25" s="2" t="n">
        <v>24</v>
      </c>
      <c r="J25" s="3"/>
      <c r="K25" s="3"/>
      <c r="L25" s="3"/>
      <c r="M25" s="3"/>
      <c r="N25" s="3"/>
      <c r="O25" s="2" t="str">
        <f aca="true">IF(COUNT(J25:N25)=0,"",TODAY()-MAX(J25:N25))</f>
        <v/>
      </c>
    </row>
    <row r="26" customFormat="false" ht="18" hidden="false" customHeight="true" outlineLevel="0" collapsed="false">
      <c r="A26" s="2" t="n">
        <v>25</v>
      </c>
      <c r="J26" s="3"/>
      <c r="K26" s="3"/>
      <c r="L26" s="3"/>
      <c r="M26" s="3"/>
      <c r="N26" s="3"/>
      <c r="O26" s="2" t="str">
        <f aca="true">IF(COUNT(J26:N26)=0,"",TODAY()-MAX(J26:N26))</f>
        <v/>
      </c>
    </row>
    <row r="27" customFormat="false" ht="18" hidden="false" customHeight="true" outlineLevel="0" collapsed="false">
      <c r="A27" s="2" t="n">
        <v>26</v>
      </c>
      <c r="J27" s="3"/>
      <c r="K27" s="3"/>
      <c r="L27" s="3"/>
      <c r="M27" s="3"/>
      <c r="N27" s="3"/>
      <c r="O27" s="2" t="str">
        <f aca="true">IF(COUNT(J27:N27)=0,"",TODAY()-MAX(J27:N27))</f>
        <v/>
      </c>
    </row>
    <row r="28" customFormat="false" ht="18" hidden="false" customHeight="true" outlineLevel="0" collapsed="false">
      <c r="A28" s="2" t="n">
        <v>27</v>
      </c>
      <c r="J28" s="3"/>
      <c r="K28" s="3"/>
      <c r="L28" s="3"/>
      <c r="M28" s="3"/>
      <c r="N28" s="3"/>
      <c r="O28" s="2" t="str">
        <f aca="true">IF(COUNT(J28:N28)=0,"",TODAY()-MAX(J28:N28))</f>
        <v/>
      </c>
    </row>
    <row r="29" customFormat="false" ht="18" hidden="false" customHeight="true" outlineLevel="0" collapsed="false">
      <c r="A29" s="2" t="n">
        <v>28</v>
      </c>
      <c r="J29" s="3"/>
      <c r="K29" s="3"/>
      <c r="L29" s="3"/>
      <c r="M29" s="3"/>
      <c r="N29" s="3"/>
      <c r="O29" s="2" t="str">
        <f aca="true">IF(COUNT(J29:N29)=0,"",TODAY()-MAX(J29:N29))</f>
        <v/>
      </c>
    </row>
    <row r="30" customFormat="false" ht="18" hidden="false" customHeight="true" outlineLevel="0" collapsed="false">
      <c r="A30" s="2" t="n">
        <v>29</v>
      </c>
      <c r="J30" s="3"/>
      <c r="K30" s="3"/>
      <c r="L30" s="3"/>
      <c r="M30" s="3"/>
      <c r="N30" s="3"/>
      <c r="O30" s="2" t="str">
        <f aca="true">IF(COUNT(J30:N30)=0,"",TODAY()-MAX(J30:N30))</f>
        <v/>
      </c>
    </row>
    <row r="31" customFormat="false" ht="18" hidden="false" customHeight="true" outlineLevel="0" collapsed="false">
      <c r="A31" s="2" t="n">
        <v>30</v>
      </c>
      <c r="J31" s="3"/>
      <c r="K31" s="3"/>
      <c r="L31" s="3"/>
      <c r="M31" s="3"/>
      <c r="N31" s="3"/>
      <c r="O31" s="2" t="str">
        <f aca="true">IF(COUNT(J31:N31)=0,"",TODAY()-MAX(J31:N31))</f>
        <v/>
      </c>
    </row>
    <row r="32" customFormat="false" ht="18" hidden="false" customHeight="true" outlineLevel="0" collapsed="false">
      <c r="A32" s="2" t="n">
        <v>31</v>
      </c>
      <c r="J32" s="3"/>
      <c r="K32" s="3"/>
      <c r="L32" s="3"/>
      <c r="M32" s="3"/>
      <c r="N32" s="3"/>
      <c r="O32" s="2" t="str">
        <f aca="true">IF(COUNT(J32:N32)=0,"",TODAY()-MAX(J32:N32))</f>
        <v/>
      </c>
    </row>
    <row r="33" customFormat="false" ht="18" hidden="false" customHeight="true" outlineLevel="0" collapsed="false">
      <c r="A33" s="2" t="n">
        <v>32</v>
      </c>
      <c r="J33" s="3"/>
      <c r="K33" s="3"/>
      <c r="L33" s="3"/>
      <c r="M33" s="3"/>
      <c r="N33" s="3"/>
      <c r="O33" s="2" t="str">
        <f aca="true">IF(COUNT(J33:N33)=0,"",TODAY()-MAX(J33:N33))</f>
        <v/>
      </c>
    </row>
    <row r="34" customFormat="false" ht="18" hidden="false" customHeight="true" outlineLevel="0" collapsed="false">
      <c r="A34" s="2" t="n">
        <v>33</v>
      </c>
      <c r="J34" s="3"/>
      <c r="K34" s="3"/>
      <c r="L34" s="3"/>
      <c r="M34" s="3"/>
      <c r="N34" s="3"/>
      <c r="O34" s="2" t="str">
        <f aca="true">IF(COUNT(J34:N34)=0,"",TODAY()-MAX(J34:N34))</f>
        <v/>
      </c>
    </row>
    <row r="35" customFormat="false" ht="18" hidden="false" customHeight="true" outlineLevel="0" collapsed="false">
      <c r="A35" s="2" t="n">
        <v>34</v>
      </c>
      <c r="J35" s="3"/>
      <c r="K35" s="3"/>
      <c r="L35" s="3"/>
      <c r="M35" s="3"/>
      <c r="N35" s="3"/>
      <c r="O35" s="2" t="str">
        <f aca="true">IF(COUNT(J35:N35)=0,"",TODAY()-MAX(J35:N35))</f>
        <v/>
      </c>
    </row>
    <row r="36" customFormat="false" ht="18" hidden="false" customHeight="true" outlineLevel="0" collapsed="false">
      <c r="A36" s="2" t="n">
        <v>35</v>
      </c>
      <c r="J36" s="3"/>
      <c r="K36" s="3"/>
      <c r="L36" s="3"/>
      <c r="M36" s="3"/>
      <c r="N36" s="3"/>
      <c r="O36" s="2" t="str">
        <f aca="true">IF(COUNT(J36:N36)=0,"",TODAY()-MAX(J36:N36))</f>
        <v/>
      </c>
    </row>
    <row r="37" customFormat="false" ht="18" hidden="false" customHeight="true" outlineLevel="0" collapsed="false">
      <c r="A37" s="2" t="n">
        <v>36</v>
      </c>
      <c r="J37" s="3"/>
      <c r="K37" s="3"/>
      <c r="L37" s="3"/>
      <c r="M37" s="3"/>
      <c r="N37" s="3"/>
      <c r="O37" s="2" t="str">
        <f aca="true">IF(COUNT(J37:N37)=0,"",TODAY()-MAX(J37:N37))</f>
        <v/>
      </c>
    </row>
    <row r="38" customFormat="false" ht="18" hidden="false" customHeight="true" outlineLevel="0" collapsed="false">
      <c r="A38" s="2" t="n">
        <v>37</v>
      </c>
      <c r="J38" s="3"/>
      <c r="K38" s="3"/>
      <c r="L38" s="3"/>
      <c r="M38" s="3"/>
      <c r="N38" s="3"/>
      <c r="O38" s="2" t="str">
        <f aca="true">IF(COUNT(J38:N38)=0,"",TODAY()-MAX(J38:N38))</f>
        <v/>
      </c>
    </row>
    <row r="39" customFormat="false" ht="18" hidden="false" customHeight="true" outlineLevel="0" collapsed="false">
      <c r="A39" s="2" t="n">
        <v>38</v>
      </c>
      <c r="J39" s="3"/>
      <c r="K39" s="3"/>
      <c r="L39" s="3"/>
      <c r="M39" s="3"/>
      <c r="N39" s="3"/>
      <c r="O39" s="2" t="str">
        <f aca="true">IF(COUNT(J39:N39)=0,"",TODAY()-MAX(J39:N39))</f>
        <v/>
      </c>
    </row>
    <row r="40" customFormat="false" ht="18" hidden="false" customHeight="true" outlineLevel="0" collapsed="false">
      <c r="A40" s="2" t="n">
        <v>39</v>
      </c>
      <c r="J40" s="3"/>
      <c r="K40" s="3"/>
      <c r="L40" s="3"/>
      <c r="M40" s="3"/>
      <c r="N40" s="3"/>
      <c r="O40" s="2" t="str">
        <f aca="true">IF(COUNT(J40:N40)=0,"",TODAY()-MAX(J40:N40))</f>
        <v/>
      </c>
    </row>
    <row r="41" customFormat="false" ht="18" hidden="false" customHeight="true" outlineLevel="0" collapsed="false">
      <c r="A41" s="2" t="n">
        <v>40</v>
      </c>
      <c r="J41" s="3"/>
      <c r="K41" s="3"/>
      <c r="L41" s="3"/>
      <c r="M41" s="3"/>
      <c r="N41" s="3"/>
      <c r="O41" s="2" t="str">
        <f aca="true">IF(COUNT(J41:N41)=0,"",TODAY()-MAX(J41:N41))</f>
        <v/>
      </c>
    </row>
    <row r="42" customFormat="false" ht="18" hidden="false" customHeight="true" outlineLevel="0" collapsed="false">
      <c r="A42" s="2" t="n">
        <v>41</v>
      </c>
      <c r="J42" s="3"/>
      <c r="K42" s="3"/>
      <c r="L42" s="3"/>
      <c r="M42" s="3"/>
      <c r="N42" s="3"/>
      <c r="O42" s="2" t="str">
        <f aca="true">IF(COUNT(J42:N42)=0,"",TODAY()-MAX(J42:N42))</f>
        <v/>
      </c>
    </row>
    <row r="43" customFormat="false" ht="18" hidden="false" customHeight="true" outlineLevel="0" collapsed="false">
      <c r="A43" s="2" t="n">
        <v>42</v>
      </c>
      <c r="J43" s="3"/>
      <c r="K43" s="3"/>
      <c r="L43" s="3"/>
      <c r="M43" s="3"/>
      <c r="N43" s="3"/>
      <c r="O43" s="2" t="str">
        <f aca="true">IF(COUNT(J43:N43)=0,"",TODAY()-MAX(J43:N43))</f>
        <v/>
      </c>
    </row>
    <row r="44" customFormat="false" ht="18" hidden="false" customHeight="true" outlineLevel="0" collapsed="false">
      <c r="A44" s="2" t="n">
        <v>43</v>
      </c>
      <c r="J44" s="3"/>
      <c r="K44" s="3"/>
      <c r="L44" s="3"/>
      <c r="M44" s="3"/>
      <c r="N44" s="3"/>
      <c r="O44" s="2" t="str">
        <f aca="true">IF(COUNT(J44:N44)=0,"",TODAY()-MAX(J44:N44))</f>
        <v/>
      </c>
    </row>
    <row r="45" customFormat="false" ht="18" hidden="false" customHeight="true" outlineLevel="0" collapsed="false">
      <c r="A45" s="2" t="n">
        <v>44</v>
      </c>
      <c r="J45" s="3"/>
      <c r="K45" s="3"/>
      <c r="L45" s="3"/>
      <c r="M45" s="3"/>
      <c r="N45" s="3"/>
      <c r="O45" s="2" t="str">
        <f aca="true">IF(COUNT(J45:N45)=0,"",TODAY()-MAX(J45:N45))</f>
        <v/>
      </c>
    </row>
    <row r="46" customFormat="false" ht="18" hidden="false" customHeight="true" outlineLevel="0" collapsed="false">
      <c r="A46" s="2" t="n">
        <v>45</v>
      </c>
      <c r="J46" s="3"/>
      <c r="K46" s="3"/>
      <c r="L46" s="3"/>
      <c r="M46" s="3"/>
      <c r="N46" s="3"/>
      <c r="O46" s="2" t="str">
        <f aca="true">IF(COUNT(J46:N46)=0,"",TODAY()-MAX(J46:N46))</f>
        <v/>
      </c>
    </row>
    <row r="47" customFormat="false" ht="18" hidden="false" customHeight="true" outlineLevel="0" collapsed="false">
      <c r="A47" s="2" t="n">
        <v>46</v>
      </c>
      <c r="J47" s="3"/>
      <c r="K47" s="3"/>
      <c r="L47" s="3"/>
      <c r="M47" s="3"/>
      <c r="N47" s="3"/>
      <c r="O47" s="2" t="str">
        <f aca="true">IF(COUNT(J47:N47)=0,"",TODAY()-MAX(J47:N47))</f>
        <v/>
      </c>
    </row>
    <row r="48" customFormat="false" ht="18" hidden="false" customHeight="true" outlineLevel="0" collapsed="false">
      <c r="A48" s="2" t="n">
        <v>47</v>
      </c>
      <c r="J48" s="3"/>
      <c r="K48" s="3"/>
      <c r="L48" s="3"/>
      <c r="M48" s="3"/>
      <c r="N48" s="3"/>
      <c r="O48" s="2" t="str">
        <f aca="true">IF(COUNT(J48:N48)=0,"",TODAY()-MAX(J48:N48))</f>
        <v/>
      </c>
    </row>
    <row r="49" customFormat="false" ht="18" hidden="false" customHeight="true" outlineLevel="0" collapsed="false">
      <c r="A49" s="2" t="n">
        <v>48</v>
      </c>
      <c r="J49" s="3"/>
      <c r="K49" s="3"/>
      <c r="L49" s="3"/>
      <c r="M49" s="3"/>
      <c r="N49" s="3"/>
      <c r="O49" s="2" t="str">
        <f aca="true">IF(COUNT(J49:N49)=0,"",TODAY()-MAX(J49:N49))</f>
        <v/>
      </c>
    </row>
    <row r="50" customFormat="false" ht="18" hidden="false" customHeight="true" outlineLevel="0" collapsed="false">
      <c r="A50" s="2" t="n">
        <v>49</v>
      </c>
      <c r="J50" s="3"/>
      <c r="K50" s="3"/>
      <c r="L50" s="3"/>
      <c r="M50" s="3"/>
      <c r="N50" s="3"/>
      <c r="O50" s="2" t="str">
        <f aca="true">IF(COUNT(J50:N50)=0,"",TODAY()-MAX(J50:N50))</f>
        <v/>
      </c>
    </row>
    <row r="51" customFormat="false" ht="18" hidden="false" customHeight="true" outlineLevel="0" collapsed="false">
      <c r="A51" s="2" t="n">
        <v>50</v>
      </c>
      <c r="J51" s="3"/>
      <c r="K51" s="3"/>
      <c r="L51" s="3"/>
      <c r="M51" s="3"/>
      <c r="N51" s="3"/>
      <c r="O51" s="2" t="str">
        <f aca="true">IF(COUNT(J51:N51)=0,"",TODAY()-MAX(J51:N51))</f>
        <v/>
      </c>
    </row>
  </sheetData>
  <conditionalFormatting sqref="A2:Q51">
    <cfRule type="expression" priority="2" aboveAverage="0" equalAverage="0" bottom="0" percent="0" rank="0" text="" dxfId="0">
      <formula>EXACT($I2,"pending")</formula>
    </cfRule>
    <cfRule type="expression" priority="3" aboveAverage="0" equalAverage="0" bottom="0" percent="0" rank="0" text="" dxfId="1">
      <formula>EXACT($I2,"sent D0")</formula>
    </cfRule>
    <cfRule type="expression" priority="4" aboveAverage="0" equalAverage="0" bottom="0" percent="0" rank="0" text="" dxfId="1">
      <formula>EXACT($I2,"sent D2")</formula>
    </cfRule>
    <cfRule type="expression" priority="5" aboveAverage="0" equalAverage="0" bottom="0" percent="0" rank="0" text="" dxfId="1">
      <formula>EXACT($I2,"sent D4")</formula>
    </cfRule>
    <cfRule type="expression" priority="6" aboveAverage="0" equalAverage="0" bottom="0" percent="0" rank="0" text="" dxfId="1">
      <formula>EXACT($I2,"sent D7")</formula>
    </cfRule>
    <cfRule type="expression" priority="7" aboveAverage="0" equalAverage="0" bottom="0" percent="0" rank="0" text="" dxfId="1">
      <formula>EXACT($I2,"sent D14")</formula>
    </cfRule>
    <cfRule type="expression" priority="8" aboveAverage="0" equalAverage="0" bottom="0" percent="0" rank="0" text="" dxfId="2">
      <formula>EXACT($I2,"replied")</formula>
    </cfRule>
    <cfRule type="expression" priority="9" aboveAverage="0" equalAverage="0" bottom="0" percent="0" rank="0" text="" dxfId="3">
      <formula>EXACT($I2,"meeting booked")</formula>
    </cfRule>
    <cfRule type="expression" priority="10" aboveAverage="0" equalAverage="0" bottom="0" percent="0" rank="0" text="" dxfId="4">
      <formula>EXACT($I2,"closed-won")</formula>
    </cfRule>
    <cfRule type="expression" priority="11" aboveAverage="0" equalAverage="0" bottom="0" percent="0" rank="0" text="" dxfId="5">
      <formula>EXACT($I2,"closed-lost")</formula>
    </cfRule>
    <cfRule type="expression" priority="12" aboveAverage="0" equalAverage="0" bottom="0" percent="0" rank="0" text="" dxfId="6">
      <formula>EXACT($I2,"nurture")</formula>
    </cfRule>
  </conditionalFormatting>
  <dataValidations count="1">
    <dataValidation allowBlank="true" errorStyle="stop" operator="between" showDropDown="false" showErrorMessage="false" showInputMessage="false" sqref="I2:I51" type="list">
      <formula1>"pending,sent D0,sent D2,sent D4,sent D7,sent D14,replied,meeting booked,closed-won,closed-lost,nurture"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0A0A"/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80" hidden="false" customHeight="true" outlineLevel="0" collapsed="false">
      <c r="A1" s="4" t="s">
        <v>17</v>
      </c>
      <c r="B1" s="5" t="s">
        <v>18</v>
      </c>
    </row>
    <row r="2" customFormat="false" ht="42" hidden="false" customHeight="true" outlineLevel="0" collapsed="false">
      <c r="A2" s="4" t="s">
        <v>19</v>
      </c>
      <c r="B2" s="5" t="s">
        <v>20</v>
      </c>
    </row>
    <row r="3" customFormat="false" ht="55.5" hidden="false" customHeight="true" outlineLevel="0" collapsed="false">
      <c r="A3" s="4" t="s">
        <v>21</v>
      </c>
      <c r="B3" s="5" t="s">
        <v>22</v>
      </c>
    </row>
    <row r="4" customFormat="false" ht="27.75" hidden="false" customHeight="true" outlineLevel="0" collapsed="false">
      <c r="A4" s="4" t="s">
        <v>23</v>
      </c>
      <c r="B4" s="5" t="s">
        <v>24</v>
      </c>
    </row>
    <row r="5" customFormat="false" ht="42" hidden="false" customHeight="true" outlineLevel="0" collapsed="false">
      <c r="A5" s="4" t="s">
        <v>25</v>
      </c>
      <c r="B5" s="5" t="s">
        <v>26</v>
      </c>
    </row>
    <row r="6" customFormat="false" ht="27.75" hidden="false" customHeight="true" outlineLevel="0" collapsed="false">
      <c r="A6" s="4" t="s">
        <v>27</v>
      </c>
      <c r="B6" s="5" t="s">
        <v>28</v>
      </c>
    </row>
    <row r="7" customFormat="false" ht="19.5" hidden="false" customHeight="true" outlineLevel="0" collapsed="false">
      <c r="A7" s="4" t="s">
        <v>29</v>
      </c>
      <c r="B7" s="5" t="s">
        <v>30</v>
      </c>
    </row>
    <row r="8" customFormat="false" ht="19.5" hidden="false" customHeight="true" outlineLevel="0" collapsed="false">
      <c r="A8" s="6" t="s">
        <v>31</v>
      </c>
      <c r="B8" s="5" t="s">
        <v>32</v>
      </c>
    </row>
    <row r="9" customFormat="false" ht="19.5" hidden="false" customHeight="true" outlineLevel="0" collapsed="false">
      <c r="A9" s="6" t="s">
        <v>33</v>
      </c>
      <c r="B9" s="5" t="s">
        <v>34</v>
      </c>
    </row>
    <row r="10" customFormat="false" ht="19.5" hidden="false" customHeight="true" outlineLevel="0" collapsed="false">
      <c r="A10" s="6" t="s">
        <v>35</v>
      </c>
      <c r="B10" s="5" t="s">
        <v>36</v>
      </c>
    </row>
    <row r="11" customFormat="false" ht="19.5" hidden="false" customHeight="true" outlineLevel="0" collapsed="false">
      <c r="A11" s="6" t="s">
        <v>37</v>
      </c>
      <c r="B11" s="5" t="s">
        <v>38</v>
      </c>
    </row>
    <row r="12" customFormat="false" ht="19.5" hidden="false" customHeight="true" outlineLevel="0" collapsed="false">
      <c r="A12" s="6" t="s">
        <v>39</v>
      </c>
      <c r="B12" s="5" t="s">
        <v>40</v>
      </c>
    </row>
    <row r="13" customFormat="false" ht="19.5" hidden="false" customHeight="true" outlineLevel="0" collapsed="false">
      <c r="A13" s="6" t="s">
        <v>41</v>
      </c>
      <c r="B13" s="5" t="s">
        <v>42</v>
      </c>
    </row>
    <row r="14" customFormat="false" ht="19.5" hidden="false" customHeight="true" outlineLevel="0" collapsed="false">
      <c r="A14" s="6" t="s">
        <v>43</v>
      </c>
      <c r="B14" s="5" t="s">
        <v>44</v>
      </c>
    </row>
    <row r="15" customFormat="false" ht="19.5" hidden="false" customHeight="true" outlineLevel="0" collapsed="false">
      <c r="A15" s="6" t="s">
        <v>45</v>
      </c>
      <c r="B15" s="5" t="s">
        <v>46</v>
      </c>
    </row>
    <row r="16" customFormat="false" ht="19.5" hidden="false" customHeight="true" outlineLevel="0" collapsed="false">
      <c r="A16" s="6" t="s">
        <v>47</v>
      </c>
      <c r="B16" s="5" t="s">
        <v>48</v>
      </c>
    </row>
    <row r="17" customFormat="false" ht="19.5" hidden="false" customHeight="true" outlineLevel="0" collapsed="false">
      <c r="A17" s="6" t="s">
        <v>49</v>
      </c>
      <c r="B17" s="5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0"/>
  </cols>
  <sheetData>
    <row r="1" customFormat="false" ht="21.75" hidden="false" customHeight="true" outlineLevel="0" collapsed="false">
      <c r="A1" s="7" t="s">
        <v>8</v>
      </c>
      <c r="B1" s="7" t="s">
        <v>51</v>
      </c>
      <c r="C1" s="7" t="s">
        <v>52</v>
      </c>
    </row>
    <row r="2" customFormat="false" ht="15" hidden="false" customHeight="false" outlineLevel="0" collapsed="false">
      <c r="A2" s="8" t="s">
        <v>53</v>
      </c>
      <c r="B2" s="8" t="n">
        <f aca="false">COUNTIF(Tracker!I2:I51,"pending")</f>
        <v>0</v>
      </c>
      <c r="C2" s="9" t="n">
        <f aca="false">IFERROR(B2/SUM($B$2:$B$12),0)</f>
        <v>0</v>
      </c>
    </row>
    <row r="3" customFormat="false" ht="15" hidden="false" customHeight="false" outlineLevel="0" collapsed="false">
      <c r="A3" s="8" t="s">
        <v>54</v>
      </c>
      <c r="B3" s="8" t="n">
        <f aca="false">COUNTIF(Tracker!I2:I51,"sent D0")</f>
        <v>0</v>
      </c>
      <c r="C3" s="9" t="n">
        <f aca="false">IFERROR(B3/SUM($B$2:$B$12),0)</f>
        <v>0</v>
      </c>
    </row>
    <row r="4" customFormat="false" ht="15" hidden="false" customHeight="false" outlineLevel="0" collapsed="false">
      <c r="A4" s="8" t="s">
        <v>55</v>
      </c>
      <c r="B4" s="8" t="n">
        <f aca="false">COUNTIF(Tracker!I2:I51,"sent D2")</f>
        <v>0</v>
      </c>
      <c r="C4" s="9" t="n">
        <f aca="false">IFERROR(B4/SUM($B$2:$B$12),0)</f>
        <v>0</v>
      </c>
    </row>
    <row r="5" customFormat="false" ht="15" hidden="false" customHeight="false" outlineLevel="0" collapsed="false">
      <c r="A5" s="8" t="s">
        <v>56</v>
      </c>
      <c r="B5" s="8" t="n">
        <f aca="false">COUNTIF(Tracker!I2:I51,"sent D4")</f>
        <v>0</v>
      </c>
      <c r="C5" s="9" t="n">
        <f aca="false">IFERROR(B5/SUM($B$2:$B$12),0)</f>
        <v>0</v>
      </c>
    </row>
    <row r="6" customFormat="false" ht="15" hidden="false" customHeight="false" outlineLevel="0" collapsed="false">
      <c r="A6" s="8" t="s">
        <v>57</v>
      </c>
      <c r="B6" s="8" t="n">
        <f aca="false">COUNTIF(Tracker!I2:I51,"sent D7")</f>
        <v>0</v>
      </c>
      <c r="C6" s="9" t="n">
        <f aca="false">IFERROR(B6/SUM($B$2:$B$12),0)</f>
        <v>0</v>
      </c>
    </row>
    <row r="7" customFormat="false" ht="15" hidden="false" customHeight="false" outlineLevel="0" collapsed="false">
      <c r="A7" s="8" t="s">
        <v>58</v>
      </c>
      <c r="B7" s="8" t="n">
        <f aca="false">COUNTIF(Tracker!I2:I51,"sent D14")</f>
        <v>0</v>
      </c>
      <c r="C7" s="9" t="n">
        <f aca="false">IFERROR(B7/SUM($B$2:$B$12),0)</f>
        <v>0</v>
      </c>
    </row>
    <row r="8" customFormat="false" ht="15" hidden="false" customHeight="false" outlineLevel="0" collapsed="false">
      <c r="A8" s="8" t="s">
        <v>59</v>
      </c>
      <c r="B8" s="8" t="n">
        <f aca="false">COUNTIF(Tracker!I2:I51,"replied")</f>
        <v>0</v>
      </c>
      <c r="C8" s="9" t="n">
        <f aca="false">IFERROR(B8/SUM($B$2:$B$12),0)</f>
        <v>0</v>
      </c>
    </row>
    <row r="9" customFormat="false" ht="15" hidden="false" customHeight="false" outlineLevel="0" collapsed="false">
      <c r="A9" s="8" t="s">
        <v>60</v>
      </c>
      <c r="B9" s="8" t="n">
        <f aca="false">COUNTIF(Tracker!I2:I51,"meeting booked")</f>
        <v>0</v>
      </c>
      <c r="C9" s="9" t="n">
        <f aca="false">IFERROR(B9/SUM($B$2:$B$12),0)</f>
        <v>0</v>
      </c>
    </row>
    <row r="10" customFormat="false" ht="15" hidden="false" customHeight="false" outlineLevel="0" collapsed="false">
      <c r="A10" s="8" t="s">
        <v>61</v>
      </c>
      <c r="B10" s="8" t="n">
        <f aca="false">COUNTIF(Tracker!I2:I51,"closed-won")</f>
        <v>0</v>
      </c>
      <c r="C10" s="9" t="n">
        <f aca="false">IFERROR(B10/SUM($B$2:$B$12),0)</f>
        <v>0</v>
      </c>
    </row>
    <row r="11" customFormat="false" ht="15" hidden="false" customHeight="false" outlineLevel="0" collapsed="false">
      <c r="A11" s="8" t="s">
        <v>62</v>
      </c>
      <c r="B11" s="8" t="n">
        <f aca="false">COUNTIF(Tracker!I2:I51,"closed-lost")</f>
        <v>0</v>
      </c>
      <c r="C11" s="9" t="n">
        <f aca="false">IFERROR(B11/SUM($B$2:$B$12),0)</f>
        <v>0</v>
      </c>
    </row>
    <row r="12" customFormat="false" ht="15" hidden="false" customHeight="false" outlineLevel="0" collapsed="false">
      <c r="A12" s="8" t="s">
        <v>63</v>
      </c>
      <c r="B12" s="8" t="n">
        <f aca="false">COUNTIF(Tracker!I2:I51,"nurture")</f>
        <v>0</v>
      </c>
      <c r="C12" s="9" t="n">
        <f aca="false">IFERROR(B12/SUM($B$2:$B$12),0)</f>
        <v>0</v>
      </c>
    </row>
    <row r="13" customFormat="false" ht="15" hidden="false" customHeight="false" outlineLevel="0" collapsed="false">
      <c r="A13" s="10" t="s">
        <v>64</v>
      </c>
      <c r="B13" s="10" t="n">
        <f aca="false">SUM(B2:B12)</f>
        <v>0</v>
      </c>
    </row>
    <row r="16" customFormat="false" ht="15" hidden="false" customHeight="false" outlineLevel="0" collapsed="false">
      <c r="A16" s="11" t="s">
        <v>65</v>
      </c>
    </row>
    <row r="17" customFormat="false" ht="15" hidden="false" customHeight="false" outlineLevel="0" collapsed="false">
      <c r="A17" s="8" t="s">
        <v>66</v>
      </c>
      <c r="B17" s="9" t="n">
        <f aca="false">IFERROR((COUNTIF(Tracker!I2:I51,"replied")+COUNTIF(Tracker!I2:I51,"meeting booked")+COUNTIF(Tracker!I2:I51,"closed-won")+COUNTIF(Tracker!I2:I51,"closed-lost"))/MAX(1,(COUNTA(Tracker!I2:I51)-COUNTIF(Tracker!I2:I51,"pending"))),0)</f>
        <v>0</v>
      </c>
    </row>
    <row r="18" customFormat="false" ht="15" hidden="false" customHeight="false" outlineLevel="0" collapsed="false">
      <c r="A18" s="8" t="s">
        <v>67</v>
      </c>
      <c r="B18" s="9" t="n">
        <f aca="false">IFERROR(COUNTIF(Tracker!I2:I51,"meeting booked")/MAX(1,COUNTIF(Tracker!I2:I51,"replied")+COUNTIF(Tracker!I2:I51,"meeting booked")+COUNTIF(Tracker!I2:I51,"closed-won")+COUNTIF(Tracker!I2:I51,"closed-lost")),0)</f>
        <v>0</v>
      </c>
    </row>
    <row r="19" customFormat="false" ht="15" hidden="false" customHeight="false" outlineLevel="0" collapsed="false">
      <c r="A19" s="8" t="s">
        <v>68</v>
      </c>
      <c r="B19" s="9" t="n">
        <f aca="false">IFERROR(COUNTIF(Tracker!I2:I51,"closed-won")/MAX(1,COUNTIF(Tracker!I2:I51,"meeting booked")+COUNTIF(Tracker!I2:I51,"closed-won")+COUNTIF(Tracker!I2:I51,"closed-lost")),0)</f>
        <v>0</v>
      </c>
    </row>
    <row r="21" customFormat="false" ht="15" hidden="false" customHeight="false" outlineLevel="0" collapsed="false">
      <c r="A21" s="12" t="s">
        <v>69</v>
      </c>
    </row>
    <row r="22" customFormat="false" ht="15" hidden="false" customHeight="false" outlineLevel="0" collapsed="false">
      <c r="A22" s="8" t="s">
        <v>70</v>
      </c>
      <c r="B22" s="8" t="s">
        <v>71</v>
      </c>
    </row>
    <row r="23" customFormat="false" ht="15" hidden="false" customHeight="false" outlineLevel="0" collapsed="false">
      <c r="A23" s="8" t="s">
        <v>72</v>
      </c>
      <c r="B23" s="8" t="s">
        <v>73</v>
      </c>
    </row>
    <row r="24" customFormat="false" ht="15" hidden="false" customHeight="false" outlineLevel="0" collapsed="false">
      <c r="A24" s="8" t="s">
        <v>74</v>
      </c>
      <c r="B24" s="8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2026-05-18T01:23:30Z</dcterms:created>
  <dc:creator>openpyxl</dc:creator>
  <dc:description/>
  <dc:language>en-US</dc:language>
  <cp:lastModifiedBy/>
  <dcterms:modified xsi:type="dcterms:W3CDTF">2026-05-18T01:23:30Z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